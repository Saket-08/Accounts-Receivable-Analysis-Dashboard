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https://d.docs.live.net/9d639815b88d1e94/Desktop/PROJECTSSS/"/>
    </mc:Choice>
  </mc:AlternateContent>
  <xr:revisionPtr revIDLastSave="12" documentId="13_ncr:1_{D38624DF-B2B7-4A08-B022-63437ADC387F}" xr6:coauthVersionLast="47" xr6:coauthVersionMax="47" xr10:uidLastSave="{4B943853-8719-486E-9794-1DF0DCFD1B5C}"/>
  <bookViews>
    <workbookView xWindow="-120" yWindow="-120" windowWidth="20730" windowHeight="11160" activeTab="3" xr2:uid="{00000000-000D-0000-FFFF-FFFF00000000}"/>
  </bookViews>
  <sheets>
    <sheet name="DATASET" sheetId="1" r:id="rId1"/>
    <sheet name="PIVOT_TABLE" sheetId="6" r:id="rId2"/>
    <sheet name="Sheet1" sheetId="7" r:id="rId3"/>
    <sheet name="DASHBOARD" sheetId="4" r:id="rId4"/>
  </sheets>
  <definedNames>
    <definedName name="Slicer_Customer">#N/A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6" l="1"/>
  <c r="B2" i="7"/>
  <c r="B4" i="7" s="1"/>
  <c r="L391" i="1"/>
  <c r="M391" i="1" s="1"/>
  <c r="L327" i="1"/>
  <c r="M327" i="1" s="1"/>
  <c r="L263" i="1"/>
  <c r="M263" i="1" s="1"/>
  <c r="L199" i="1"/>
  <c r="L135" i="1"/>
  <c r="L71" i="1"/>
  <c r="L7" i="1"/>
  <c r="P56" i="1"/>
  <c r="P120" i="1"/>
  <c r="P184" i="1"/>
  <c r="P248" i="1"/>
  <c r="P312" i="1"/>
  <c r="P376" i="1"/>
  <c r="P440" i="1"/>
  <c r="P496" i="1"/>
  <c r="P528" i="1"/>
  <c r="P553" i="1"/>
  <c r="P569" i="1"/>
  <c r="P585" i="1"/>
  <c r="P601" i="1"/>
  <c r="P617" i="1"/>
  <c r="P633" i="1"/>
  <c r="P649" i="1"/>
  <c r="P665" i="1"/>
  <c r="P681" i="1"/>
  <c r="P697" i="1"/>
  <c r="P713" i="1"/>
  <c r="P729" i="1"/>
  <c r="P745" i="1"/>
  <c r="P761" i="1"/>
  <c r="P777" i="1"/>
  <c r="P793" i="1"/>
  <c r="P809" i="1"/>
  <c r="P825" i="1"/>
  <c r="P841" i="1"/>
  <c r="P857" i="1"/>
  <c r="P873" i="1"/>
  <c r="P889"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2" i="1"/>
  <c r="N3" i="1"/>
  <c r="N4" i="1"/>
  <c r="N5" i="1"/>
  <c r="N6" i="1"/>
  <c r="N7" i="1"/>
  <c r="P7" i="1" s="1"/>
  <c r="N8" i="1"/>
  <c r="N9" i="1"/>
  <c r="N10" i="1"/>
  <c r="N11" i="1"/>
  <c r="N12" i="1"/>
  <c r="N13" i="1"/>
  <c r="N14" i="1"/>
  <c r="N15" i="1"/>
  <c r="N16" i="1"/>
  <c r="N17" i="1"/>
  <c r="N18" i="1"/>
  <c r="N19" i="1"/>
  <c r="N20" i="1"/>
  <c r="N21" i="1"/>
  <c r="N22" i="1"/>
  <c r="N23" i="1"/>
  <c r="P23" i="1" s="1"/>
  <c r="N24" i="1"/>
  <c r="N25" i="1"/>
  <c r="N26" i="1"/>
  <c r="N27" i="1"/>
  <c r="N28" i="1"/>
  <c r="N29" i="1"/>
  <c r="N30" i="1"/>
  <c r="N31" i="1"/>
  <c r="N32" i="1"/>
  <c r="N33" i="1"/>
  <c r="N34" i="1"/>
  <c r="N35" i="1"/>
  <c r="N36" i="1"/>
  <c r="N37" i="1"/>
  <c r="N38" i="1"/>
  <c r="N39" i="1"/>
  <c r="P39" i="1" s="1"/>
  <c r="N40" i="1"/>
  <c r="L40" i="1" s="1"/>
  <c r="M40" i="1" s="1"/>
  <c r="N41" i="1"/>
  <c r="N42" i="1"/>
  <c r="N43" i="1"/>
  <c r="N44" i="1"/>
  <c r="N45" i="1"/>
  <c r="N46" i="1"/>
  <c r="N47" i="1"/>
  <c r="N48" i="1"/>
  <c r="N49" i="1"/>
  <c r="N50" i="1"/>
  <c r="N51" i="1"/>
  <c r="N52" i="1"/>
  <c r="N53" i="1"/>
  <c r="N54" i="1"/>
  <c r="N55" i="1"/>
  <c r="P55" i="1" s="1"/>
  <c r="N56" i="1"/>
  <c r="L56" i="1" s="1"/>
  <c r="M56" i="1" s="1"/>
  <c r="N57" i="1"/>
  <c r="N58" i="1"/>
  <c r="N59" i="1"/>
  <c r="N60" i="1"/>
  <c r="N61" i="1"/>
  <c r="N62" i="1"/>
  <c r="N63" i="1"/>
  <c r="N64" i="1"/>
  <c r="N65" i="1"/>
  <c r="N66" i="1"/>
  <c r="N67" i="1"/>
  <c r="N68" i="1"/>
  <c r="N69" i="1"/>
  <c r="N70" i="1"/>
  <c r="N71" i="1"/>
  <c r="P71" i="1" s="1"/>
  <c r="N72" i="1"/>
  <c r="L72" i="1" s="1"/>
  <c r="M72" i="1" s="1"/>
  <c r="N73" i="1"/>
  <c r="N74" i="1"/>
  <c r="N75" i="1"/>
  <c r="N76" i="1"/>
  <c r="N77" i="1"/>
  <c r="N78" i="1"/>
  <c r="N79" i="1"/>
  <c r="N80" i="1"/>
  <c r="N81" i="1"/>
  <c r="N82" i="1"/>
  <c r="N83" i="1"/>
  <c r="N84" i="1"/>
  <c r="N85" i="1"/>
  <c r="N86" i="1"/>
  <c r="N87" i="1"/>
  <c r="P87" i="1" s="1"/>
  <c r="N88" i="1"/>
  <c r="L88" i="1" s="1"/>
  <c r="M88" i="1" s="1"/>
  <c r="N89" i="1"/>
  <c r="N90" i="1"/>
  <c r="N91" i="1"/>
  <c r="N92" i="1"/>
  <c r="N93" i="1"/>
  <c r="N94" i="1"/>
  <c r="N95" i="1"/>
  <c r="N96" i="1"/>
  <c r="N97" i="1"/>
  <c r="N98" i="1"/>
  <c r="N99" i="1"/>
  <c r="N100" i="1"/>
  <c r="N101" i="1"/>
  <c r="N102" i="1"/>
  <c r="N103" i="1"/>
  <c r="P103" i="1" s="1"/>
  <c r="N104" i="1"/>
  <c r="L104" i="1" s="1"/>
  <c r="M104" i="1" s="1"/>
  <c r="N105" i="1"/>
  <c r="N106" i="1"/>
  <c r="N107" i="1"/>
  <c r="N108" i="1"/>
  <c r="N109" i="1"/>
  <c r="N110" i="1"/>
  <c r="N111" i="1"/>
  <c r="N112" i="1"/>
  <c r="N113" i="1"/>
  <c r="N114" i="1"/>
  <c r="N115" i="1"/>
  <c r="N116" i="1"/>
  <c r="N117" i="1"/>
  <c r="N118" i="1"/>
  <c r="N119" i="1"/>
  <c r="P119" i="1" s="1"/>
  <c r="N120" i="1"/>
  <c r="L120" i="1" s="1"/>
  <c r="M120" i="1" s="1"/>
  <c r="N121" i="1"/>
  <c r="N122" i="1"/>
  <c r="N123" i="1"/>
  <c r="N124" i="1"/>
  <c r="N125" i="1"/>
  <c r="N126" i="1"/>
  <c r="N127" i="1"/>
  <c r="N128" i="1"/>
  <c r="N129" i="1"/>
  <c r="N130" i="1"/>
  <c r="N131" i="1"/>
  <c r="N132" i="1"/>
  <c r="N133" i="1"/>
  <c r="N134" i="1"/>
  <c r="N135" i="1"/>
  <c r="P135" i="1" s="1"/>
  <c r="N136" i="1"/>
  <c r="L136" i="1" s="1"/>
  <c r="M136" i="1" s="1"/>
  <c r="N137" i="1"/>
  <c r="N138" i="1"/>
  <c r="N139" i="1"/>
  <c r="N140" i="1"/>
  <c r="N141" i="1"/>
  <c r="N142" i="1"/>
  <c r="N143" i="1"/>
  <c r="N144" i="1"/>
  <c r="N145" i="1"/>
  <c r="N146" i="1"/>
  <c r="N147" i="1"/>
  <c r="N148" i="1"/>
  <c r="N149" i="1"/>
  <c r="N150" i="1"/>
  <c r="N151" i="1"/>
  <c r="P151" i="1" s="1"/>
  <c r="N152" i="1"/>
  <c r="L152" i="1" s="1"/>
  <c r="M152" i="1" s="1"/>
  <c r="N153" i="1"/>
  <c r="N154" i="1"/>
  <c r="N155" i="1"/>
  <c r="N156" i="1"/>
  <c r="N157" i="1"/>
  <c r="N158" i="1"/>
  <c r="N159" i="1"/>
  <c r="N160" i="1"/>
  <c r="N161" i="1"/>
  <c r="N162" i="1"/>
  <c r="N163" i="1"/>
  <c r="N164" i="1"/>
  <c r="N165" i="1"/>
  <c r="N166" i="1"/>
  <c r="N167" i="1"/>
  <c r="P167" i="1" s="1"/>
  <c r="N168" i="1"/>
  <c r="L168" i="1" s="1"/>
  <c r="M168" i="1" s="1"/>
  <c r="N169" i="1"/>
  <c r="N170" i="1"/>
  <c r="N171" i="1"/>
  <c r="N172" i="1"/>
  <c r="N173" i="1"/>
  <c r="N174" i="1"/>
  <c r="N175" i="1"/>
  <c r="N176" i="1"/>
  <c r="N177" i="1"/>
  <c r="N178" i="1"/>
  <c r="N179" i="1"/>
  <c r="N180" i="1"/>
  <c r="N181" i="1"/>
  <c r="N182" i="1"/>
  <c r="N183" i="1"/>
  <c r="P183" i="1" s="1"/>
  <c r="N184" i="1"/>
  <c r="L184" i="1" s="1"/>
  <c r="M184" i="1" s="1"/>
  <c r="N185" i="1"/>
  <c r="N186" i="1"/>
  <c r="N187" i="1"/>
  <c r="N188" i="1"/>
  <c r="N189" i="1"/>
  <c r="N190" i="1"/>
  <c r="N191" i="1"/>
  <c r="N192" i="1"/>
  <c r="N193" i="1"/>
  <c r="N194" i="1"/>
  <c r="N195" i="1"/>
  <c r="N196" i="1"/>
  <c r="N197" i="1"/>
  <c r="N198" i="1"/>
  <c r="N199" i="1"/>
  <c r="P199" i="1" s="1"/>
  <c r="N200" i="1"/>
  <c r="L200" i="1" s="1"/>
  <c r="M200" i="1" s="1"/>
  <c r="N201" i="1"/>
  <c r="N202" i="1"/>
  <c r="N203" i="1"/>
  <c r="N204" i="1"/>
  <c r="N205" i="1"/>
  <c r="N206" i="1"/>
  <c r="N207" i="1"/>
  <c r="N208" i="1"/>
  <c r="N209" i="1"/>
  <c r="N210" i="1"/>
  <c r="N211" i="1"/>
  <c r="N212" i="1"/>
  <c r="N213" i="1"/>
  <c r="N214" i="1"/>
  <c r="N215" i="1"/>
  <c r="P215" i="1" s="1"/>
  <c r="N216" i="1"/>
  <c r="L216" i="1" s="1"/>
  <c r="M216" i="1" s="1"/>
  <c r="N217" i="1"/>
  <c r="N218" i="1"/>
  <c r="N219" i="1"/>
  <c r="N220" i="1"/>
  <c r="N221" i="1"/>
  <c r="N222" i="1"/>
  <c r="N223" i="1"/>
  <c r="N224" i="1"/>
  <c r="N225" i="1"/>
  <c r="N226" i="1"/>
  <c r="N227" i="1"/>
  <c r="N228" i="1"/>
  <c r="N229" i="1"/>
  <c r="N230" i="1"/>
  <c r="N231" i="1"/>
  <c r="P231" i="1" s="1"/>
  <c r="N232" i="1"/>
  <c r="L232" i="1" s="1"/>
  <c r="M232" i="1" s="1"/>
  <c r="N233" i="1"/>
  <c r="N234" i="1"/>
  <c r="N235" i="1"/>
  <c r="N236" i="1"/>
  <c r="N237" i="1"/>
  <c r="N238" i="1"/>
  <c r="N239" i="1"/>
  <c r="N240" i="1"/>
  <c r="N241" i="1"/>
  <c r="N242" i="1"/>
  <c r="N243" i="1"/>
  <c r="N244" i="1"/>
  <c r="N245" i="1"/>
  <c r="N246" i="1"/>
  <c r="N247" i="1"/>
  <c r="P247" i="1" s="1"/>
  <c r="N248" i="1"/>
  <c r="L248" i="1" s="1"/>
  <c r="M248" i="1" s="1"/>
  <c r="N249" i="1"/>
  <c r="N250" i="1"/>
  <c r="N251" i="1"/>
  <c r="N252" i="1"/>
  <c r="N253" i="1"/>
  <c r="N254" i="1"/>
  <c r="N255" i="1"/>
  <c r="N256" i="1"/>
  <c r="N257" i="1"/>
  <c r="N258" i="1"/>
  <c r="N259" i="1"/>
  <c r="N260" i="1"/>
  <c r="N261" i="1"/>
  <c r="N262" i="1"/>
  <c r="N263" i="1"/>
  <c r="P263" i="1" s="1"/>
  <c r="N264" i="1"/>
  <c r="L264" i="1" s="1"/>
  <c r="M264" i="1" s="1"/>
  <c r="N265" i="1"/>
  <c r="N266" i="1"/>
  <c r="N267" i="1"/>
  <c r="N268" i="1"/>
  <c r="N269" i="1"/>
  <c r="N270" i="1"/>
  <c r="N271" i="1"/>
  <c r="N272" i="1"/>
  <c r="N273" i="1"/>
  <c r="N274" i="1"/>
  <c r="N275" i="1"/>
  <c r="N276" i="1"/>
  <c r="N277" i="1"/>
  <c r="N278" i="1"/>
  <c r="N279" i="1"/>
  <c r="P279" i="1" s="1"/>
  <c r="N280" i="1"/>
  <c r="L280" i="1" s="1"/>
  <c r="M280" i="1" s="1"/>
  <c r="N281" i="1"/>
  <c r="N282" i="1"/>
  <c r="N283" i="1"/>
  <c r="N284" i="1"/>
  <c r="N285" i="1"/>
  <c r="N286" i="1"/>
  <c r="N287" i="1"/>
  <c r="N288" i="1"/>
  <c r="N289" i="1"/>
  <c r="N290" i="1"/>
  <c r="N291" i="1"/>
  <c r="N292" i="1"/>
  <c r="N293" i="1"/>
  <c r="N294" i="1"/>
  <c r="N295" i="1"/>
  <c r="P295" i="1" s="1"/>
  <c r="N296" i="1"/>
  <c r="L296" i="1" s="1"/>
  <c r="M296" i="1" s="1"/>
  <c r="N297" i="1"/>
  <c r="N298" i="1"/>
  <c r="N299" i="1"/>
  <c r="N300" i="1"/>
  <c r="N301" i="1"/>
  <c r="N302" i="1"/>
  <c r="N303" i="1"/>
  <c r="N304" i="1"/>
  <c r="N305" i="1"/>
  <c r="N306" i="1"/>
  <c r="N307" i="1"/>
  <c r="N308" i="1"/>
  <c r="N309" i="1"/>
  <c r="N310" i="1"/>
  <c r="N311" i="1"/>
  <c r="P311" i="1" s="1"/>
  <c r="N312" i="1"/>
  <c r="L312" i="1" s="1"/>
  <c r="M312" i="1" s="1"/>
  <c r="N313" i="1"/>
  <c r="N314" i="1"/>
  <c r="N315" i="1"/>
  <c r="N316" i="1"/>
  <c r="N317" i="1"/>
  <c r="N318" i="1"/>
  <c r="N319" i="1"/>
  <c r="N320" i="1"/>
  <c r="N321" i="1"/>
  <c r="N322" i="1"/>
  <c r="N323" i="1"/>
  <c r="N324" i="1"/>
  <c r="N325" i="1"/>
  <c r="N326" i="1"/>
  <c r="N327" i="1"/>
  <c r="P327" i="1" s="1"/>
  <c r="N328" i="1"/>
  <c r="L328" i="1" s="1"/>
  <c r="M328" i="1" s="1"/>
  <c r="N329" i="1"/>
  <c r="N330" i="1"/>
  <c r="N331" i="1"/>
  <c r="N332" i="1"/>
  <c r="N333" i="1"/>
  <c r="N334" i="1"/>
  <c r="N335" i="1"/>
  <c r="N336" i="1"/>
  <c r="N337" i="1"/>
  <c r="N338" i="1"/>
  <c r="N339" i="1"/>
  <c r="N340" i="1"/>
  <c r="N341" i="1"/>
  <c r="N342" i="1"/>
  <c r="N343" i="1"/>
  <c r="P343" i="1" s="1"/>
  <c r="N344" i="1"/>
  <c r="L344" i="1" s="1"/>
  <c r="M344" i="1" s="1"/>
  <c r="N345" i="1"/>
  <c r="N346" i="1"/>
  <c r="N347" i="1"/>
  <c r="N348" i="1"/>
  <c r="N349" i="1"/>
  <c r="N350" i="1"/>
  <c r="N351" i="1"/>
  <c r="N352" i="1"/>
  <c r="N353" i="1"/>
  <c r="N354" i="1"/>
  <c r="N355" i="1"/>
  <c r="N356" i="1"/>
  <c r="N357" i="1"/>
  <c r="N358" i="1"/>
  <c r="N359" i="1"/>
  <c r="P359" i="1" s="1"/>
  <c r="N360" i="1"/>
  <c r="L360" i="1" s="1"/>
  <c r="M360" i="1" s="1"/>
  <c r="N361" i="1"/>
  <c r="N362" i="1"/>
  <c r="N363" i="1"/>
  <c r="N364" i="1"/>
  <c r="N365" i="1"/>
  <c r="N366" i="1"/>
  <c r="N367" i="1"/>
  <c r="N368" i="1"/>
  <c r="N369" i="1"/>
  <c r="N370" i="1"/>
  <c r="N371" i="1"/>
  <c r="N372" i="1"/>
  <c r="N373" i="1"/>
  <c r="N374" i="1"/>
  <c r="N375" i="1"/>
  <c r="P375" i="1" s="1"/>
  <c r="N376" i="1"/>
  <c r="L376" i="1" s="1"/>
  <c r="M376" i="1" s="1"/>
  <c r="N377" i="1"/>
  <c r="N378" i="1"/>
  <c r="N379" i="1"/>
  <c r="N380" i="1"/>
  <c r="N381" i="1"/>
  <c r="N382" i="1"/>
  <c r="N383" i="1"/>
  <c r="N384" i="1"/>
  <c r="N385" i="1"/>
  <c r="N386" i="1"/>
  <c r="N387" i="1"/>
  <c r="N388" i="1"/>
  <c r="N389" i="1"/>
  <c r="N390" i="1"/>
  <c r="N391" i="1"/>
  <c r="P391" i="1" s="1"/>
  <c r="N392" i="1"/>
  <c r="L392" i="1" s="1"/>
  <c r="M392" i="1" s="1"/>
  <c r="N393" i="1"/>
  <c r="N394" i="1"/>
  <c r="N395" i="1"/>
  <c r="N396" i="1"/>
  <c r="N397" i="1"/>
  <c r="N398" i="1"/>
  <c r="N399" i="1"/>
  <c r="N400" i="1"/>
  <c r="N401" i="1"/>
  <c r="N402" i="1"/>
  <c r="N403" i="1"/>
  <c r="N404" i="1"/>
  <c r="N405" i="1"/>
  <c r="N406" i="1"/>
  <c r="N407" i="1"/>
  <c r="N408" i="1"/>
  <c r="L408" i="1" s="1"/>
  <c r="M408" i="1" s="1"/>
  <c r="N409" i="1"/>
  <c r="N410" i="1"/>
  <c r="N411" i="1"/>
  <c r="N412" i="1"/>
  <c r="N413" i="1"/>
  <c r="N414" i="1"/>
  <c r="N415" i="1"/>
  <c r="N416" i="1"/>
  <c r="N417" i="1"/>
  <c r="N418" i="1"/>
  <c r="N419" i="1"/>
  <c r="N420" i="1"/>
  <c r="N421" i="1"/>
  <c r="N422" i="1"/>
  <c r="N423" i="1"/>
  <c r="N424" i="1"/>
  <c r="L424" i="1" s="1"/>
  <c r="M424" i="1" s="1"/>
  <c r="N425" i="1"/>
  <c r="N426" i="1"/>
  <c r="N427" i="1"/>
  <c r="N428" i="1"/>
  <c r="N429" i="1"/>
  <c r="N430" i="1"/>
  <c r="N431" i="1"/>
  <c r="N432" i="1"/>
  <c r="N433" i="1"/>
  <c r="N434" i="1"/>
  <c r="N435" i="1"/>
  <c r="N436" i="1"/>
  <c r="N437" i="1"/>
  <c r="N438" i="1"/>
  <c r="N439" i="1"/>
  <c r="N440" i="1"/>
  <c r="L440" i="1" s="1"/>
  <c r="M440" i="1" s="1"/>
  <c r="N441" i="1"/>
  <c r="N442" i="1"/>
  <c r="N443" i="1"/>
  <c r="N444" i="1"/>
  <c r="N445" i="1"/>
  <c r="N446" i="1"/>
  <c r="N447" i="1"/>
  <c r="N448" i="1"/>
  <c r="N449" i="1"/>
  <c r="N450" i="1"/>
  <c r="N451" i="1"/>
  <c r="N452" i="1"/>
  <c r="N453" i="1"/>
  <c r="N454" i="1"/>
  <c r="N455" i="1"/>
  <c r="P455" i="1" s="1"/>
  <c r="N456" i="1"/>
  <c r="L456" i="1" s="1"/>
  <c r="M456" i="1" s="1"/>
  <c r="N457" i="1"/>
  <c r="N458" i="1"/>
  <c r="N459" i="1"/>
  <c r="N460" i="1"/>
  <c r="N461" i="1"/>
  <c r="N462" i="1"/>
  <c r="N463" i="1"/>
  <c r="N464" i="1"/>
  <c r="N465" i="1"/>
  <c r="N466" i="1"/>
  <c r="N467" i="1"/>
  <c r="N468" i="1"/>
  <c r="N469" i="1"/>
  <c r="N470" i="1"/>
  <c r="N471" i="1"/>
  <c r="N472" i="1"/>
  <c r="L472" i="1" s="1"/>
  <c r="M472" i="1" s="1"/>
  <c r="N473" i="1"/>
  <c r="N474" i="1"/>
  <c r="N475" i="1"/>
  <c r="N476" i="1"/>
  <c r="N477" i="1"/>
  <c r="N478" i="1"/>
  <c r="N479" i="1"/>
  <c r="N480" i="1"/>
  <c r="N481" i="1"/>
  <c r="N482" i="1"/>
  <c r="N483" i="1"/>
  <c r="N484" i="1"/>
  <c r="N485" i="1"/>
  <c r="N486" i="1"/>
  <c r="N487" i="1"/>
  <c r="N488" i="1"/>
  <c r="L488" i="1" s="1"/>
  <c r="M488" i="1" s="1"/>
  <c r="N489" i="1"/>
  <c r="N490" i="1"/>
  <c r="N491" i="1"/>
  <c r="N492" i="1"/>
  <c r="N493" i="1"/>
  <c r="N494" i="1"/>
  <c r="N495" i="1"/>
  <c r="N496" i="1"/>
  <c r="L496" i="1" s="1"/>
  <c r="M496" i="1" s="1"/>
  <c r="N497" i="1"/>
  <c r="N498" i="1"/>
  <c r="N499" i="1"/>
  <c r="N500" i="1"/>
  <c r="N501" i="1"/>
  <c r="N502" i="1"/>
  <c r="N503" i="1"/>
  <c r="N504" i="1"/>
  <c r="L504" i="1" s="1"/>
  <c r="M504" i="1" s="1"/>
  <c r="N505" i="1"/>
  <c r="N506" i="1"/>
  <c r="N507" i="1"/>
  <c r="N508" i="1"/>
  <c r="N509" i="1"/>
  <c r="N510" i="1"/>
  <c r="N511" i="1"/>
  <c r="N512" i="1"/>
  <c r="L512" i="1" s="1"/>
  <c r="M512" i="1" s="1"/>
  <c r="N513" i="1"/>
  <c r="N514" i="1"/>
  <c r="N515" i="1"/>
  <c r="N516" i="1"/>
  <c r="N517" i="1"/>
  <c r="N518" i="1"/>
  <c r="N519" i="1"/>
  <c r="P519" i="1" s="1"/>
  <c r="N520" i="1"/>
  <c r="L520" i="1" s="1"/>
  <c r="M520" i="1" s="1"/>
  <c r="N521" i="1"/>
  <c r="N522" i="1"/>
  <c r="N523" i="1"/>
  <c r="N524" i="1"/>
  <c r="N525" i="1"/>
  <c r="N526" i="1"/>
  <c r="N527" i="1"/>
  <c r="N528" i="1"/>
  <c r="L528" i="1" s="1"/>
  <c r="M528" i="1" s="1"/>
  <c r="N529" i="1"/>
  <c r="N530" i="1"/>
  <c r="N531" i="1"/>
  <c r="N532" i="1"/>
  <c r="N533" i="1"/>
  <c r="N534" i="1"/>
  <c r="N535" i="1"/>
  <c r="N536" i="1"/>
  <c r="L536" i="1" s="1"/>
  <c r="M536" i="1" s="1"/>
  <c r="N537" i="1"/>
  <c r="N538" i="1"/>
  <c r="N539" i="1"/>
  <c r="N540" i="1"/>
  <c r="N541" i="1"/>
  <c r="N542" i="1"/>
  <c r="N543" i="1"/>
  <c r="N544" i="1"/>
  <c r="L544" i="1" s="1"/>
  <c r="M544" i="1" s="1"/>
  <c r="N545" i="1"/>
  <c r="N546" i="1"/>
  <c r="N547" i="1"/>
  <c r="N548" i="1"/>
  <c r="N549" i="1"/>
  <c r="L549" i="1" s="1"/>
  <c r="M549" i="1" s="1"/>
  <c r="N550" i="1"/>
  <c r="N551" i="1"/>
  <c r="N552" i="1"/>
  <c r="N553" i="1"/>
  <c r="L553" i="1" s="1"/>
  <c r="M553" i="1" s="1"/>
  <c r="N554" i="1"/>
  <c r="N555" i="1"/>
  <c r="N556" i="1"/>
  <c r="N557" i="1"/>
  <c r="L557" i="1" s="1"/>
  <c r="M557" i="1" s="1"/>
  <c r="N558" i="1"/>
  <c r="N559" i="1"/>
  <c r="N560" i="1"/>
  <c r="N561" i="1"/>
  <c r="L561" i="1" s="1"/>
  <c r="M561" i="1" s="1"/>
  <c r="N562" i="1"/>
  <c r="N563" i="1"/>
  <c r="N564" i="1"/>
  <c r="N565" i="1"/>
  <c r="L565" i="1" s="1"/>
  <c r="M565" i="1" s="1"/>
  <c r="N566" i="1"/>
  <c r="N567" i="1"/>
  <c r="N568" i="1"/>
  <c r="N569" i="1"/>
  <c r="L569" i="1" s="1"/>
  <c r="M569" i="1" s="1"/>
  <c r="N570" i="1"/>
  <c r="N571" i="1"/>
  <c r="N572" i="1"/>
  <c r="N573" i="1"/>
  <c r="L573" i="1" s="1"/>
  <c r="M573" i="1" s="1"/>
  <c r="N574" i="1"/>
  <c r="N575" i="1"/>
  <c r="N576" i="1"/>
  <c r="N577" i="1"/>
  <c r="L577" i="1" s="1"/>
  <c r="M577" i="1" s="1"/>
  <c r="N578" i="1"/>
  <c r="N579" i="1"/>
  <c r="N580" i="1"/>
  <c r="N581" i="1"/>
  <c r="L581" i="1" s="1"/>
  <c r="M581" i="1" s="1"/>
  <c r="N582" i="1"/>
  <c r="N583" i="1"/>
  <c r="N584" i="1"/>
  <c r="N585" i="1"/>
  <c r="L585" i="1" s="1"/>
  <c r="M585" i="1" s="1"/>
  <c r="N586" i="1"/>
  <c r="N587" i="1"/>
  <c r="N588" i="1"/>
  <c r="N589" i="1"/>
  <c r="L589" i="1" s="1"/>
  <c r="M589" i="1" s="1"/>
  <c r="N590" i="1"/>
  <c r="N591" i="1"/>
  <c r="N592" i="1"/>
  <c r="N593" i="1"/>
  <c r="L593" i="1" s="1"/>
  <c r="M593" i="1" s="1"/>
  <c r="N594" i="1"/>
  <c r="N595" i="1"/>
  <c r="N596" i="1"/>
  <c r="N597" i="1"/>
  <c r="L597" i="1" s="1"/>
  <c r="M597" i="1" s="1"/>
  <c r="N598" i="1"/>
  <c r="N599" i="1"/>
  <c r="N600" i="1"/>
  <c r="N601" i="1"/>
  <c r="L601" i="1" s="1"/>
  <c r="M601" i="1" s="1"/>
  <c r="N602" i="1"/>
  <c r="N603" i="1"/>
  <c r="N604" i="1"/>
  <c r="N605" i="1"/>
  <c r="L605" i="1" s="1"/>
  <c r="M605" i="1" s="1"/>
  <c r="N606" i="1"/>
  <c r="N607" i="1"/>
  <c r="N608" i="1"/>
  <c r="N609" i="1"/>
  <c r="L609" i="1" s="1"/>
  <c r="M609" i="1" s="1"/>
  <c r="N610" i="1"/>
  <c r="N611" i="1"/>
  <c r="N612" i="1"/>
  <c r="N613" i="1"/>
  <c r="L613" i="1" s="1"/>
  <c r="M613" i="1" s="1"/>
  <c r="N614" i="1"/>
  <c r="N615" i="1"/>
  <c r="N616" i="1"/>
  <c r="N617" i="1"/>
  <c r="L617" i="1" s="1"/>
  <c r="M617" i="1" s="1"/>
  <c r="N618" i="1"/>
  <c r="N619" i="1"/>
  <c r="N620" i="1"/>
  <c r="N621" i="1"/>
  <c r="L621" i="1" s="1"/>
  <c r="M621" i="1" s="1"/>
  <c r="N622" i="1"/>
  <c r="N623" i="1"/>
  <c r="N624" i="1"/>
  <c r="N625" i="1"/>
  <c r="L625" i="1" s="1"/>
  <c r="M625" i="1" s="1"/>
  <c r="N626" i="1"/>
  <c r="N627" i="1"/>
  <c r="N628" i="1"/>
  <c r="N629" i="1"/>
  <c r="L629" i="1" s="1"/>
  <c r="M629" i="1" s="1"/>
  <c r="N630" i="1"/>
  <c r="N631" i="1"/>
  <c r="N632" i="1"/>
  <c r="N633" i="1"/>
  <c r="L633" i="1" s="1"/>
  <c r="M633" i="1" s="1"/>
  <c r="N634" i="1"/>
  <c r="N635" i="1"/>
  <c r="N636" i="1"/>
  <c r="N637" i="1"/>
  <c r="L637" i="1" s="1"/>
  <c r="M637" i="1" s="1"/>
  <c r="N638" i="1"/>
  <c r="N639" i="1"/>
  <c r="N640" i="1"/>
  <c r="N641" i="1"/>
  <c r="L641" i="1" s="1"/>
  <c r="M641" i="1" s="1"/>
  <c r="N642" i="1"/>
  <c r="N643" i="1"/>
  <c r="N644" i="1"/>
  <c r="N645" i="1"/>
  <c r="L645" i="1" s="1"/>
  <c r="M645" i="1" s="1"/>
  <c r="N646" i="1"/>
  <c r="P646" i="1" s="1"/>
  <c r="N647" i="1"/>
  <c r="N648" i="1"/>
  <c r="N649" i="1"/>
  <c r="L649" i="1" s="1"/>
  <c r="M649" i="1" s="1"/>
  <c r="N650" i="1"/>
  <c r="N651" i="1"/>
  <c r="N652" i="1"/>
  <c r="N653" i="1"/>
  <c r="L653" i="1" s="1"/>
  <c r="M653" i="1" s="1"/>
  <c r="N654" i="1"/>
  <c r="N655" i="1"/>
  <c r="N656" i="1"/>
  <c r="N657" i="1"/>
  <c r="L657" i="1" s="1"/>
  <c r="M657" i="1" s="1"/>
  <c r="N658" i="1"/>
  <c r="N659" i="1"/>
  <c r="N660" i="1"/>
  <c r="N661" i="1"/>
  <c r="L661" i="1" s="1"/>
  <c r="M661" i="1" s="1"/>
  <c r="N662" i="1"/>
  <c r="N663" i="1"/>
  <c r="N664" i="1"/>
  <c r="N665" i="1"/>
  <c r="L665" i="1" s="1"/>
  <c r="M665" i="1" s="1"/>
  <c r="N666" i="1"/>
  <c r="N667" i="1"/>
  <c r="N668" i="1"/>
  <c r="N669" i="1"/>
  <c r="L669" i="1" s="1"/>
  <c r="M669" i="1" s="1"/>
  <c r="N670" i="1"/>
  <c r="N671" i="1"/>
  <c r="N672" i="1"/>
  <c r="N673" i="1"/>
  <c r="L673" i="1" s="1"/>
  <c r="M673" i="1" s="1"/>
  <c r="N674" i="1"/>
  <c r="N675" i="1"/>
  <c r="N676" i="1"/>
  <c r="N677" i="1"/>
  <c r="L677" i="1" s="1"/>
  <c r="M677" i="1" s="1"/>
  <c r="N678" i="1"/>
  <c r="N679" i="1"/>
  <c r="N680" i="1"/>
  <c r="N681" i="1"/>
  <c r="L681" i="1" s="1"/>
  <c r="M681" i="1" s="1"/>
  <c r="N682" i="1"/>
  <c r="N683" i="1"/>
  <c r="N684" i="1"/>
  <c r="N685" i="1"/>
  <c r="L685" i="1" s="1"/>
  <c r="M685" i="1" s="1"/>
  <c r="N686" i="1"/>
  <c r="N687" i="1"/>
  <c r="N688" i="1"/>
  <c r="N689" i="1"/>
  <c r="L689" i="1" s="1"/>
  <c r="M689" i="1" s="1"/>
  <c r="N690" i="1"/>
  <c r="N691" i="1"/>
  <c r="N692" i="1"/>
  <c r="N693" i="1"/>
  <c r="L693" i="1" s="1"/>
  <c r="M693" i="1" s="1"/>
  <c r="N694" i="1"/>
  <c r="N695" i="1"/>
  <c r="N696" i="1"/>
  <c r="N697" i="1"/>
  <c r="L697" i="1" s="1"/>
  <c r="M697" i="1" s="1"/>
  <c r="N698" i="1"/>
  <c r="N699" i="1"/>
  <c r="N700" i="1"/>
  <c r="N701" i="1"/>
  <c r="L701" i="1" s="1"/>
  <c r="M701" i="1" s="1"/>
  <c r="N702" i="1"/>
  <c r="N703" i="1"/>
  <c r="N704" i="1"/>
  <c r="N705" i="1"/>
  <c r="L705" i="1" s="1"/>
  <c r="M705" i="1" s="1"/>
  <c r="N706" i="1"/>
  <c r="N707" i="1"/>
  <c r="N708" i="1"/>
  <c r="N709" i="1"/>
  <c r="L709" i="1" s="1"/>
  <c r="M709" i="1" s="1"/>
  <c r="N710" i="1"/>
  <c r="N711" i="1"/>
  <c r="N712" i="1"/>
  <c r="N713" i="1"/>
  <c r="L713" i="1" s="1"/>
  <c r="M713" i="1" s="1"/>
  <c r="N714" i="1"/>
  <c r="N715" i="1"/>
  <c r="N716" i="1"/>
  <c r="N717" i="1"/>
  <c r="L717" i="1" s="1"/>
  <c r="M717" i="1" s="1"/>
  <c r="N718" i="1"/>
  <c r="N719" i="1"/>
  <c r="N720" i="1"/>
  <c r="N721" i="1"/>
  <c r="L721" i="1" s="1"/>
  <c r="M721" i="1" s="1"/>
  <c r="N722" i="1"/>
  <c r="N723" i="1"/>
  <c r="N724" i="1"/>
  <c r="N725" i="1"/>
  <c r="L725" i="1" s="1"/>
  <c r="M725" i="1" s="1"/>
  <c r="N726" i="1"/>
  <c r="N727" i="1"/>
  <c r="N728" i="1"/>
  <c r="N729" i="1"/>
  <c r="L729" i="1" s="1"/>
  <c r="M729" i="1" s="1"/>
  <c r="N730" i="1"/>
  <c r="N731" i="1"/>
  <c r="N732" i="1"/>
  <c r="N733" i="1"/>
  <c r="L733" i="1" s="1"/>
  <c r="M733" i="1" s="1"/>
  <c r="N734" i="1"/>
  <c r="N735" i="1"/>
  <c r="N736" i="1"/>
  <c r="N737" i="1"/>
  <c r="L737" i="1" s="1"/>
  <c r="M737" i="1" s="1"/>
  <c r="N738" i="1"/>
  <c r="N739" i="1"/>
  <c r="N740" i="1"/>
  <c r="N741" i="1"/>
  <c r="L741" i="1" s="1"/>
  <c r="M741" i="1" s="1"/>
  <c r="N742" i="1"/>
  <c r="N743" i="1"/>
  <c r="N744" i="1"/>
  <c r="N745" i="1"/>
  <c r="L745" i="1" s="1"/>
  <c r="M745" i="1" s="1"/>
  <c r="N746" i="1"/>
  <c r="N747" i="1"/>
  <c r="N748" i="1"/>
  <c r="N749" i="1"/>
  <c r="L749" i="1" s="1"/>
  <c r="M749" i="1" s="1"/>
  <c r="N750" i="1"/>
  <c r="N751" i="1"/>
  <c r="N752" i="1"/>
  <c r="N753" i="1"/>
  <c r="L753" i="1" s="1"/>
  <c r="M753" i="1" s="1"/>
  <c r="N754" i="1"/>
  <c r="N755" i="1"/>
  <c r="N756" i="1"/>
  <c r="N757" i="1"/>
  <c r="L757" i="1" s="1"/>
  <c r="M757" i="1" s="1"/>
  <c r="N758" i="1"/>
  <c r="N759" i="1"/>
  <c r="N760" i="1"/>
  <c r="N761" i="1"/>
  <c r="L761" i="1" s="1"/>
  <c r="M761" i="1" s="1"/>
  <c r="N762" i="1"/>
  <c r="N763" i="1"/>
  <c r="N764" i="1"/>
  <c r="N765" i="1"/>
  <c r="L765" i="1" s="1"/>
  <c r="M765" i="1" s="1"/>
  <c r="N766" i="1"/>
  <c r="N767" i="1"/>
  <c r="N768" i="1"/>
  <c r="N769" i="1"/>
  <c r="L769" i="1" s="1"/>
  <c r="M769" i="1" s="1"/>
  <c r="N770" i="1"/>
  <c r="N771" i="1"/>
  <c r="N772" i="1"/>
  <c r="N773" i="1"/>
  <c r="L773" i="1" s="1"/>
  <c r="M773" i="1" s="1"/>
  <c r="N774" i="1"/>
  <c r="N775" i="1"/>
  <c r="N776" i="1"/>
  <c r="N777" i="1"/>
  <c r="L777" i="1" s="1"/>
  <c r="M777" i="1" s="1"/>
  <c r="N778" i="1"/>
  <c r="N779" i="1"/>
  <c r="N780" i="1"/>
  <c r="N781" i="1"/>
  <c r="L781" i="1" s="1"/>
  <c r="M781" i="1" s="1"/>
  <c r="N782" i="1"/>
  <c r="N783" i="1"/>
  <c r="N784" i="1"/>
  <c r="N785" i="1"/>
  <c r="L785" i="1" s="1"/>
  <c r="M785" i="1" s="1"/>
  <c r="N786" i="1"/>
  <c r="N787" i="1"/>
  <c r="N788" i="1"/>
  <c r="N789" i="1"/>
  <c r="L789" i="1" s="1"/>
  <c r="M789" i="1" s="1"/>
  <c r="N790" i="1"/>
  <c r="N791" i="1"/>
  <c r="N792" i="1"/>
  <c r="N793" i="1"/>
  <c r="L793" i="1" s="1"/>
  <c r="M793" i="1" s="1"/>
  <c r="N794" i="1"/>
  <c r="N795" i="1"/>
  <c r="N796" i="1"/>
  <c r="N797" i="1"/>
  <c r="L797" i="1" s="1"/>
  <c r="M797" i="1" s="1"/>
  <c r="N798" i="1"/>
  <c r="N799" i="1"/>
  <c r="N800" i="1"/>
  <c r="N801" i="1"/>
  <c r="L801" i="1" s="1"/>
  <c r="M801" i="1" s="1"/>
  <c r="N802" i="1"/>
  <c r="N803" i="1"/>
  <c r="N804" i="1"/>
  <c r="N805" i="1"/>
  <c r="L805" i="1" s="1"/>
  <c r="M805" i="1" s="1"/>
  <c r="N806" i="1"/>
  <c r="N807" i="1"/>
  <c r="N808" i="1"/>
  <c r="N809" i="1"/>
  <c r="L809" i="1" s="1"/>
  <c r="M809" i="1" s="1"/>
  <c r="N810" i="1"/>
  <c r="N811" i="1"/>
  <c r="N812" i="1"/>
  <c r="N813" i="1"/>
  <c r="L813" i="1" s="1"/>
  <c r="M813" i="1" s="1"/>
  <c r="N814" i="1"/>
  <c r="N815" i="1"/>
  <c r="N816" i="1"/>
  <c r="N817" i="1"/>
  <c r="L817" i="1" s="1"/>
  <c r="M817" i="1" s="1"/>
  <c r="N818" i="1"/>
  <c r="N819" i="1"/>
  <c r="N820" i="1"/>
  <c r="N821" i="1"/>
  <c r="L821" i="1" s="1"/>
  <c r="M821" i="1" s="1"/>
  <c r="N822" i="1"/>
  <c r="N823" i="1"/>
  <c r="N824" i="1"/>
  <c r="N825" i="1"/>
  <c r="L825" i="1" s="1"/>
  <c r="M825" i="1" s="1"/>
  <c r="N826" i="1"/>
  <c r="N827" i="1"/>
  <c r="N828" i="1"/>
  <c r="N829" i="1"/>
  <c r="L829" i="1" s="1"/>
  <c r="M829" i="1" s="1"/>
  <c r="N830" i="1"/>
  <c r="N831" i="1"/>
  <c r="N832" i="1"/>
  <c r="N833" i="1"/>
  <c r="L833" i="1" s="1"/>
  <c r="M833" i="1" s="1"/>
  <c r="N834" i="1"/>
  <c r="N835" i="1"/>
  <c r="N836" i="1"/>
  <c r="N837" i="1"/>
  <c r="L837" i="1" s="1"/>
  <c r="M837" i="1" s="1"/>
  <c r="N838" i="1"/>
  <c r="N839" i="1"/>
  <c r="N840" i="1"/>
  <c r="N841" i="1"/>
  <c r="L841" i="1" s="1"/>
  <c r="M841" i="1" s="1"/>
  <c r="N842" i="1"/>
  <c r="N843" i="1"/>
  <c r="N844" i="1"/>
  <c r="N845" i="1"/>
  <c r="L845" i="1" s="1"/>
  <c r="M845" i="1" s="1"/>
  <c r="N846" i="1"/>
  <c r="N847" i="1"/>
  <c r="N848" i="1"/>
  <c r="N849" i="1"/>
  <c r="L849" i="1" s="1"/>
  <c r="M849" i="1" s="1"/>
  <c r="N850" i="1"/>
  <c r="N851" i="1"/>
  <c r="N852" i="1"/>
  <c r="N853" i="1"/>
  <c r="L853" i="1" s="1"/>
  <c r="M853" i="1" s="1"/>
  <c r="N854" i="1"/>
  <c r="N855" i="1"/>
  <c r="N856" i="1"/>
  <c r="N857" i="1"/>
  <c r="L857" i="1" s="1"/>
  <c r="M857" i="1" s="1"/>
  <c r="N858" i="1"/>
  <c r="N859" i="1"/>
  <c r="N860" i="1"/>
  <c r="N861" i="1"/>
  <c r="L861" i="1" s="1"/>
  <c r="M861" i="1" s="1"/>
  <c r="N862" i="1"/>
  <c r="N863" i="1"/>
  <c r="N864" i="1"/>
  <c r="N865" i="1"/>
  <c r="L865" i="1" s="1"/>
  <c r="M865" i="1" s="1"/>
  <c r="N866" i="1"/>
  <c r="N867" i="1"/>
  <c r="N868" i="1"/>
  <c r="N869" i="1"/>
  <c r="L869" i="1" s="1"/>
  <c r="M869" i="1" s="1"/>
  <c r="N870" i="1"/>
  <c r="N871" i="1"/>
  <c r="N872" i="1"/>
  <c r="N873" i="1"/>
  <c r="L873" i="1" s="1"/>
  <c r="M873" i="1" s="1"/>
  <c r="N874" i="1"/>
  <c r="N875" i="1"/>
  <c r="N876" i="1"/>
  <c r="N877" i="1"/>
  <c r="L877" i="1" s="1"/>
  <c r="M877" i="1" s="1"/>
  <c r="N878" i="1"/>
  <c r="N879" i="1"/>
  <c r="N880" i="1"/>
  <c r="N881" i="1"/>
  <c r="L881" i="1" s="1"/>
  <c r="M881" i="1" s="1"/>
  <c r="N882" i="1"/>
  <c r="N883" i="1"/>
  <c r="N884" i="1"/>
  <c r="N885" i="1"/>
  <c r="L885" i="1" s="1"/>
  <c r="M885" i="1" s="1"/>
  <c r="N886" i="1"/>
  <c r="N887" i="1"/>
  <c r="N888" i="1"/>
  <c r="N889" i="1"/>
  <c r="L889" i="1" s="1"/>
  <c r="M889" i="1" s="1"/>
  <c r="N890" i="1"/>
  <c r="N891" i="1"/>
  <c r="N892" i="1"/>
  <c r="N893" i="1"/>
  <c r="L893" i="1" s="1"/>
  <c r="M893" i="1" s="1"/>
  <c r="N894" i="1"/>
  <c r="N895" i="1"/>
  <c r="N896" i="1"/>
  <c r="N897" i="1"/>
  <c r="L897" i="1" s="1"/>
  <c r="M897" i="1" s="1"/>
  <c r="N898" i="1"/>
  <c r="N899" i="1"/>
  <c r="N900" i="1"/>
  <c r="N901" i="1"/>
  <c r="L901" i="1" s="1"/>
  <c r="M901" i="1" s="1"/>
  <c r="N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2" i="1"/>
  <c r="F2" i="6"/>
  <c r="L898" i="1" l="1"/>
  <c r="M898" i="1" s="1"/>
  <c r="P898" i="1"/>
  <c r="L894" i="1"/>
  <c r="M894" i="1" s="1"/>
  <c r="P894" i="1"/>
  <c r="L878" i="1"/>
  <c r="M878" i="1" s="1"/>
  <c r="P878" i="1"/>
  <c r="L866" i="1"/>
  <c r="M866" i="1" s="1"/>
  <c r="P866" i="1"/>
  <c r="L854" i="1"/>
  <c r="M854" i="1" s="1"/>
  <c r="P854" i="1"/>
  <c r="L838" i="1"/>
  <c r="Q838" i="1" s="1"/>
  <c r="P838" i="1"/>
  <c r="L826" i="1"/>
  <c r="M826" i="1" s="1"/>
  <c r="P826" i="1"/>
  <c r="L818" i="1"/>
  <c r="M818" i="1" s="1"/>
  <c r="P818" i="1"/>
  <c r="L798" i="1"/>
  <c r="M798" i="1" s="1"/>
  <c r="P798" i="1"/>
  <c r="L786" i="1"/>
  <c r="P786" i="1"/>
  <c r="P774" i="1"/>
  <c r="L774" i="1"/>
  <c r="M774" i="1" s="1"/>
  <c r="L762" i="1"/>
  <c r="M762" i="1" s="1"/>
  <c r="P762" i="1"/>
  <c r="L754" i="1"/>
  <c r="M754" i="1" s="1"/>
  <c r="P754" i="1"/>
  <c r="L742" i="1"/>
  <c r="P742" i="1"/>
  <c r="L726" i="1"/>
  <c r="M726" i="1" s="1"/>
  <c r="P726" i="1"/>
  <c r="P710" i="1"/>
  <c r="L710" i="1"/>
  <c r="M710" i="1" s="1"/>
  <c r="L698" i="1"/>
  <c r="M698" i="1" s="1"/>
  <c r="P698" i="1"/>
  <c r="L682" i="1"/>
  <c r="M682" i="1" s="1"/>
  <c r="P682" i="1"/>
  <c r="L674" i="1"/>
  <c r="M674" i="1" s="1"/>
  <c r="P674" i="1"/>
  <c r="L658" i="1"/>
  <c r="P658" i="1"/>
  <c r="L650" i="1"/>
  <c r="M650" i="1" s="1"/>
  <c r="P650" i="1"/>
  <c r="L638" i="1"/>
  <c r="O638" i="1" s="1" a="1"/>
  <c r="O638" i="1" s="1"/>
  <c r="P638" i="1"/>
  <c r="L626" i="1"/>
  <c r="M626" i="1" s="1"/>
  <c r="P626" i="1"/>
  <c r="L614" i="1"/>
  <c r="Q614" i="1" s="1"/>
  <c r="P614" i="1"/>
  <c r="L606" i="1"/>
  <c r="M606" i="1" s="1"/>
  <c r="P606" i="1"/>
  <c r="L594" i="1"/>
  <c r="Q594" i="1" s="1"/>
  <c r="P594" i="1"/>
  <c r="L586" i="1"/>
  <c r="M586" i="1" s="1"/>
  <c r="P586" i="1"/>
  <c r="L578" i="1"/>
  <c r="O578" i="1" s="1" a="1"/>
  <c r="O578" i="1" s="1"/>
  <c r="P578" i="1"/>
  <c r="L570" i="1"/>
  <c r="M570" i="1" s="1"/>
  <c r="P570" i="1"/>
  <c r="L562" i="1"/>
  <c r="Q562" i="1" s="1"/>
  <c r="P562" i="1"/>
  <c r="L554" i="1"/>
  <c r="M554" i="1" s="1"/>
  <c r="P554" i="1"/>
  <c r="L546" i="1"/>
  <c r="O546" i="1" s="1" a="1"/>
  <c r="O546" i="1" s="1"/>
  <c r="P546" i="1"/>
  <c r="L542" i="1"/>
  <c r="M542" i="1" s="1"/>
  <c r="P542" i="1"/>
  <c r="L534" i="1"/>
  <c r="O534" i="1" s="1" a="1"/>
  <c r="O534" i="1" s="1"/>
  <c r="P534" i="1"/>
  <c r="L530" i="1"/>
  <c r="M530" i="1" s="1"/>
  <c r="P530" i="1"/>
  <c r="L526" i="1"/>
  <c r="Q526" i="1" s="1"/>
  <c r="P526" i="1"/>
  <c r="L522" i="1"/>
  <c r="M522" i="1" s="1"/>
  <c r="P522" i="1"/>
  <c r="L518" i="1"/>
  <c r="P518" i="1"/>
  <c r="L514" i="1"/>
  <c r="M514" i="1" s="1"/>
  <c r="P514" i="1"/>
  <c r="L510" i="1"/>
  <c r="P510" i="1"/>
  <c r="L506" i="1"/>
  <c r="M506" i="1" s="1"/>
  <c r="P506" i="1"/>
  <c r="L502" i="1"/>
  <c r="Q502" i="1" s="1"/>
  <c r="P502" i="1"/>
  <c r="L498" i="1"/>
  <c r="M498" i="1" s="1"/>
  <c r="P498" i="1"/>
  <c r="L494" i="1"/>
  <c r="Q494" i="1" s="1"/>
  <c r="P494" i="1"/>
  <c r="L490" i="1"/>
  <c r="M490" i="1" s="1"/>
  <c r="P490" i="1"/>
  <c r="L486" i="1"/>
  <c r="P486" i="1"/>
  <c r="L482" i="1"/>
  <c r="M482" i="1" s="1"/>
  <c r="P482" i="1"/>
  <c r="L478" i="1"/>
  <c r="P478" i="1"/>
  <c r="L474" i="1"/>
  <c r="M474" i="1" s="1"/>
  <c r="P474" i="1"/>
  <c r="L462" i="1"/>
  <c r="Q462" i="1" s="1"/>
  <c r="P462" i="1"/>
  <c r="L458" i="1"/>
  <c r="M458" i="1" s="1"/>
  <c r="P458" i="1"/>
  <c r="L454" i="1"/>
  <c r="Q454" i="1" s="1"/>
  <c r="P454" i="1"/>
  <c r="L450" i="1"/>
  <c r="M450" i="1" s="1"/>
  <c r="P450" i="1"/>
  <c r="L446" i="1"/>
  <c r="P446" i="1"/>
  <c r="L442" i="1"/>
  <c r="M442" i="1" s="1"/>
  <c r="P442" i="1"/>
  <c r="L438" i="1"/>
  <c r="P438" i="1"/>
  <c r="L545" i="1"/>
  <c r="M545" i="1" s="1"/>
  <c r="P545" i="1"/>
  <c r="L541" i="1"/>
  <c r="M541" i="1" s="1"/>
  <c r="P541" i="1"/>
  <c r="L537" i="1"/>
  <c r="M537" i="1" s="1"/>
  <c r="P537" i="1"/>
  <c r="L533" i="1"/>
  <c r="M533" i="1" s="1"/>
  <c r="P533" i="1"/>
  <c r="L529" i="1"/>
  <c r="M529" i="1" s="1"/>
  <c r="P529" i="1"/>
  <c r="L525" i="1"/>
  <c r="M525" i="1" s="1"/>
  <c r="P525" i="1"/>
  <c r="L521" i="1"/>
  <c r="M521" i="1" s="1"/>
  <c r="P521" i="1"/>
  <c r="L517" i="1"/>
  <c r="M517" i="1" s="1"/>
  <c r="P517" i="1"/>
  <c r="L513" i="1"/>
  <c r="M513" i="1" s="1"/>
  <c r="P513" i="1"/>
  <c r="L509" i="1"/>
  <c r="M509" i="1" s="1"/>
  <c r="P509" i="1"/>
  <c r="L505" i="1"/>
  <c r="M505" i="1" s="1"/>
  <c r="P505" i="1"/>
  <c r="L501" i="1"/>
  <c r="M501" i="1" s="1"/>
  <c r="P501" i="1"/>
  <c r="L497" i="1"/>
  <c r="M497" i="1" s="1"/>
  <c r="P497" i="1"/>
  <c r="L493" i="1"/>
  <c r="M493" i="1" s="1"/>
  <c r="P493" i="1"/>
  <c r="L489" i="1"/>
  <c r="M489" i="1" s="1"/>
  <c r="P489" i="1"/>
  <c r="L485" i="1"/>
  <c r="M485" i="1" s="1"/>
  <c r="P485" i="1"/>
  <c r="L481" i="1"/>
  <c r="M481" i="1" s="1"/>
  <c r="P481" i="1"/>
  <c r="L477" i="1"/>
  <c r="M477" i="1" s="1"/>
  <c r="P477" i="1"/>
  <c r="L473" i="1"/>
  <c r="M473" i="1" s="1"/>
  <c r="P473" i="1"/>
  <c r="L469" i="1"/>
  <c r="M469" i="1" s="1"/>
  <c r="P469" i="1"/>
  <c r="L465" i="1"/>
  <c r="M465" i="1" s="1"/>
  <c r="P465" i="1"/>
  <c r="L461" i="1"/>
  <c r="M461" i="1" s="1"/>
  <c r="P461" i="1"/>
  <c r="L457" i="1"/>
  <c r="M457" i="1" s="1"/>
  <c r="P457" i="1"/>
  <c r="L453" i="1"/>
  <c r="M453" i="1" s="1"/>
  <c r="P453" i="1"/>
  <c r="L449" i="1"/>
  <c r="M449" i="1" s="1"/>
  <c r="P449" i="1"/>
  <c r="L445" i="1"/>
  <c r="M445" i="1" s="1"/>
  <c r="P445" i="1"/>
  <c r="L441" i="1"/>
  <c r="M441" i="1" s="1"/>
  <c r="P441" i="1"/>
  <c r="L437" i="1"/>
  <c r="M437" i="1" s="1"/>
  <c r="P437" i="1"/>
  <c r="L433" i="1"/>
  <c r="M433" i="1" s="1"/>
  <c r="P433" i="1"/>
  <c r="L429" i="1"/>
  <c r="M429" i="1" s="1"/>
  <c r="P429" i="1"/>
  <c r="L425" i="1"/>
  <c r="M425" i="1" s="1"/>
  <c r="P425" i="1"/>
  <c r="L421" i="1"/>
  <c r="M421" i="1" s="1"/>
  <c r="P421" i="1"/>
  <c r="L417" i="1"/>
  <c r="M417" i="1" s="1"/>
  <c r="P417" i="1"/>
  <c r="L413" i="1"/>
  <c r="M413" i="1" s="1"/>
  <c r="P413" i="1"/>
  <c r="L409" i="1"/>
  <c r="M409" i="1" s="1"/>
  <c r="P409" i="1"/>
  <c r="L405" i="1"/>
  <c r="M405" i="1" s="1"/>
  <c r="P405" i="1"/>
  <c r="L401" i="1"/>
  <c r="M401" i="1" s="1"/>
  <c r="P401" i="1"/>
  <c r="L397" i="1"/>
  <c r="M397" i="1" s="1"/>
  <c r="P397" i="1"/>
  <c r="L393" i="1"/>
  <c r="M393" i="1" s="1"/>
  <c r="P393" i="1"/>
  <c r="L389" i="1"/>
  <c r="M389" i="1" s="1"/>
  <c r="P389" i="1"/>
  <c r="P901" i="1"/>
  <c r="P885" i="1"/>
  <c r="P869" i="1"/>
  <c r="P853" i="1"/>
  <c r="P837" i="1"/>
  <c r="P821" i="1"/>
  <c r="P805" i="1"/>
  <c r="P789" i="1"/>
  <c r="P773" i="1"/>
  <c r="P757" i="1"/>
  <c r="P741" i="1"/>
  <c r="P725" i="1"/>
  <c r="P709" i="1"/>
  <c r="P693" i="1"/>
  <c r="P677" i="1"/>
  <c r="P661" i="1"/>
  <c r="P645" i="1"/>
  <c r="P629" i="1"/>
  <c r="P613" i="1"/>
  <c r="P597" i="1"/>
  <c r="P581" i="1"/>
  <c r="P565" i="1"/>
  <c r="P549" i="1"/>
  <c r="P520" i="1"/>
  <c r="P488" i="1"/>
  <c r="P424" i="1"/>
  <c r="P360" i="1"/>
  <c r="P296" i="1"/>
  <c r="P232" i="1"/>
  <c r="P168" i="1"/>
  <c r="P104" i="1"/>
  <c r="P40" i="1"/>
  <c r="L455" i="1"/>
  <c r="M455" i="1" s="1"/>
  <c r="L886" i="1"/>
  <c r="M886" i="1" s="1"/>
  <c r="P886" i="1"/>
  <c r="L874" i="1"/>
  <c r="M874" i="1" s="1"/>
  <c r="P874" i="1"/>
  <c r="L862" i="1"/>
  <c r="M862" i="1" s="1"/>
  <c r="P862" i="1"/>
  <c r="L850" i="1"/>
  <c r="M850" i="1" s="1"/>
  <c r="P850" i="1"/>
  <c r="L842" i="1"/>
  <c r="M842" i="1" s="1"/>
  <c r="P842" i="1"/>
  <c r="L830" i="1"/>
  <c r="M830" i="1" s="1"/>
  <c r="P830" i="1"/>
  <c r="L814" i="1"/>
  <c r="M814" i="1" s="1"/>
  <c r="P814" i="1"/>
  <c r="L802" i="1"/>
  <c r="M802" i="1" s="1"/>
  <c r="P802" i="1"/>
  <c r="L790" i="1"/>
  <c r="M790" i="1" s="1"/>
  <c r="P790" i="1"/>
  <c r="L778" i="1"/>
  <c r="M778" i="1" s="1"/>
  <c r="P778" i="1"/>
  <c r="L766" i="1"/>
  <c r="M766" i="1" s="1"/>
  <c r="P766" i="1"/>
  <c r="L750" i="1"/>
  <c r="M750" i="1" s="1"/>
  <c r="P750" i="1"/>
  <c r="L734" i="1"/>
  <c r="M734" i="1" s="1"/>
  <c r="P734" i="1"/>
  <c r="L722" i="1"/>
  <c r="M722" i="1" s="1"/>
  <c r="P722" i="1"/>
  <c r="L714" i="1"/>
  <c r="M714" i="1" s="1"/>
  <c r="P714" i="1"/>
  <c r="L702" i="1"/>
  <c r="M702" i="1" s="1"/>
  <c r="P702" i="1"/>
  <c r="L686" i="1"/>
  <c r="M686" i="1" s="1"/>
  <c r="P686" i="1"/>
  <c r="L670" i="1"/>
  <c r="M670" i="1" s="1"/>
  <c r="P670" i="1"/>
  <c r="L662" i="1"/>
  <c r="M662" i="1" s="1"/>
  <c r="P662" i="1"/>
  <c r="L654" i="1"/>
  <c r="M654" i="1" s="1"/>
  <c r="P654" i="1"/>
  <c r="L642" i="1"/>
  <c r="M642" i="1" s="1"/>
  <c r="P642" i="1"/>
  <c r="L630" i="1"/>
  <c r="M630" i="1" s="1"/>
  <c r="P630" i="1"/>
  <c r="L618" i="1"/>
  <c r="M618" i="1" s="1"/>
  <c r="P618" i="1"/>
  <c r="L610" i="1"/>
  <c r="M610" i="1" s="1"/>
  <c r="P610" i="1"/>
  <c r="L598" i="1"/>
  <c r="M598" i="1" s="1"/>
  <c r="P598" i="1"/>
  <c r="L590" i="1"/>
  <c r="M590" i="1" s="1"/>
  <c r="P590" i="1"/>
  <c r="L582" i="1"/>
  <c r="M582" i="1" s="1"/>
  <c r="P582" i="1"/>
  <c r="L574" i="1"/>
  <c r="M574" i="1" s="1"/>
  <c r="P574" i="1"/>
  <c r="L566" i="1"/>
  <c r="M566" i="1" s="1"/>
  <c r="P566" i="1"/>
  <c r="L558" i="1"/>
  <c r="M558" i="1" s="1"/>
  <c r="P558" i="1"/>
  <c r="L550" i="1"/>
  <c r="M550" i="1" s="1"/>
  <c r="P550" i="1"/>
  <c r="L538" i="1"/>
  <c r="M538" i="1" s="1"/>
  <c r="P538" i="1"/>
  <c r="L466" i="1"/>
  <c r="M466" i="1" s="1"/>
  <c r="P466" i="1"/>
  <c r="L900" i="1"/>
  <c r="M900" i="1" s="1"/>
  <c r="P900" i="1"/>
  <c r="L892" i="1"/>
  <c r="M892" i="1" s="1"/>
  <c r="P892" i="1"/>
  <c r="L880" i="1"/>
  <c r="M880" i="1" s="1"/>
  <c r="P880" i="1"/>
  <c r="L872" i="1"/>
  <c r="M872" i="1" s="1"/>
  <c r="P872" i="1"/>
  <c r="L864" i="1"/>
  <c r="M864" i="1" s="1"/>
  <c r="P864" i="1"/>
  <c r="L856" i="1"/>
  <c r="M856" i="1" s="1"/>
  <c r="P856" i="1"/>
  <c r="L844" i="1"/>
  <c r="M844" i="1" s="1"/>
  <c r="P844" i="1"/>
  <c r="L836" i="1"/>
  <c r="M836" i="1" s="1"/>
  <c r="P836" i="1"/>
  <c r="L828" i="1"/>
  <c r="M828" i="1" s="1"/>
  <c r="P828" i="1"/>
  <c r="L820" i="1"/>
  <c r="M820" i="1" s="1"/>
  <c r="P820" i="1"/>
  <c r="L808" i="1"/>
  <c r="M808" i="1" s="1"/>
  <c r="P808" i="1"/>
  <c r="L800" i="1"/>
  <c r="M800" i="1" s="1"/>
  <c r="P800" i="1"/>
  <c r="L796" i="1"/>
  <c r="M796" i="1" s="1"/>
  <c r="P796" i="1"/>
  <c r="L788" i="1"/>
  <c r="M788" i="1" s="1"/>
  <c r="P788" i="1"/>
  <c r="L780" i="1"/>
  <c r="M780" i="1" s="1"/>
  <c r="P780" i="1"/>
  <c r="L772" i="1"/>
  <c r="M772" i="1" s="1"/>
  <c r="P772" i="1"/>
  <c r="L760" i="1"/>
  <c r="M760" i="1" s="1"/>
  <c r="P760" i="1"/>
  <c r="L752" i="1"/>
  <c r="M752" i="1" s="1"/>
  <c r="P752" i="1"/>
  <c r="L740" i="1"/>
  <c r="M740" i="1" s="1"/>
  <c r="P740" i="1"/>
  <c r="L732" i="1"/>
  <c r="M732" i="1" s="1"/>
  <c r="P732" i="1"/>
  <c r="L720" i="1"/>
  <c r="M720" i="1" s="1"/>
  <c r="P720" i="1"/>
  <c r="L712" i="1"/>
  <c r="M712" i="1" s="1"/>
  <c r="P712" i="1"/>
  <c r="L704" i="1"/>
  <c r="M704" i="1" s="1"/>
  <c r="P704" i="1"/>
  <c r="L696" i="1"/>
  <c r="M696" i="1" s="1"/>
  <c r="P696" i="1"/>
  <c r="L684" i="1"/>
  <c r="M684" i="1" s="1"/>
  <c r="P684" i="1"/>
  <c r="L676" i="1"/>
  <c r="M676" i="1" s="1"/>
  <c r="P676" i="1"/>
  <c r="L664" i="1"/>
  <c r="M664" i="1" s="1"/>
  <c r="P664" i="1"/>
  <c r="L656" i="1"/>
  <c r="M656" i="1" s="1"/>
  <c r="P656" i="1"/>
  <c r="L644" i="1"/>
  <c r="M644" i="1" s="1"/>
  <c r="P644" i="1"/>
  <c r="L636" i="1"/>
  <c r="M636" i="1" s="1"/>
  <c r="P636" i="1"/>
  <c r="L628" i="1"/>
  <c r="M628" i="1" s="1"/>
  <c r="P628" i="1"/>
  <c r="L616" i="1"/>
  <c r="M616" i="1" s="1"/>
  <c r="P616" i="1"/>
  <c r="L608" i="1"/>
  <c r="M608" i="1" s="1"/>
  <c r="P608" i="1"/>
  <c r="L600" i="1"/>
  <c r="M600" i="1" s="1"/>
  <c r="P600" i="1"/>
  <c r="L588" i="1"/>
  <c r="M588" i="1" s="1"/>
  <c r="P588" i="1"/>
  <c r="L580" i="1"/>
  <c r="M580" i="1" s="1"/>
  <c r="P580" i="1"/>
  <c r="L568" i="1"/>
  <c r="M568" i="1" s="1"/>
  <c r="P568" i="1"/>
  <c r="L560" i="1"/>
  <c r="M560" i="1" s="1"/>
  <c r="P560" i="1"/>
  <c r="L552" i="1"/>
  <c r="M552" i="1" s="1"/>
  <c r="P552" i="1"/>
  <c r="L548" i="1"/>
  <c r="M548" i="1" s="1"/>
  <c r="P548" i="1"/>
  <c r="L532" i="1"/>
  <c r="M532" i="1" s="1"/>
  <c r="P532" i="1"/>
  <c r="L516" i="1"/>
  <c r="M516" i="1" s="1"/>
  <c r="P516" i="1"/>
  <c r="L500" i="1"/>
  <c r="M500" i="1" s="1"/>
  <c r="P500" i="1"/>
  <c r="L492" i="1"/>
  <c r="M492" i="1" s="1"/>
  <c r="P492" i="1"/>
  <c r="L484" i="1"/>
  <c r="M484" i="1" s="1"/>
  <c r="P484" i="1"/>
  <c r="L476" i="1"/>
  <c r="M476" i="1" s="1"/>
  <c r="P476" i="1"/>
  <c r="L448" i="1"/>
  <c r="M448" i="1" s="1"/>
  <c r="P448" i="1"/>
  <c r="L444" i="1"/>
  <c r="M444" i="1" s="1"/>
  <c r="P444" i="1"/>
  <c r="L436" i="1"/>
  <c r="M436" i="1" s="1"/>
  <c r="P436" i="1"/>
  <c r="L428" i="1"/>
  <c r="M428" i="1" s="1"/>
  <c r="P428" i="1"/>
  <c r="L384" i="1"/>
  <c r="M384" i="1" s="1"/>
  <c r="P384" i="1"/>
  <c r="L380" i="1"/>
  <c r="M380" i="1" s="1"/>
  <c r="P380" i="1"/>
  <c r="L352" i="1"/>
  <c r="M352" i="1" s="1"/>
  <c r="P352" i="1"/>
  <c r="L348" i="1"/>
  <c r="M348" i="1" s="1"/>
  <c r="P348" i="1"/>
  <c r="L304" i="1"/>
  <c r="M304" i="1" s="1"/>
  <c r="P304" i="1"/>
  <c r="L300" i="1"/>
  <c r="M300" i="1" s="1"/>
  <c r="P300" i="1"/>
  <c r="L292" i="1"/>
  <c r="M292" i="1" s="1"/>
  <c r="P292" i="1"/>
  <c r="L288" i="1"/>
  <c r="M288" i="1" s="1"/>
  <c r="P288" i="1"/>
  <c r="L284" i="1"/>
  <c r="M284" i="1" s="1"/>
  <c r="P284" i="1"/>
  <c r="L276" i="1"/>
  <c r="M276" i="1" s="1"/>
  <c r="P276" i="1"/>
  <c r="L272" i="1"/>
  <c r="M272" i="1" s="1"/>
  <c r="P272" i="1"/>
  <c r="L268" i="1"/>
  <c r="M268" i="1" s="1"/>
  <c r="P268" i="1"/>
  <c r="L260" i="1"/>
  <c r="M260" i="1" s="1"/>
  <c r="P260" i="1"/>
  <c r="L256" i="1"/>
  <c r="M256" i="1" s="1"/>
  <c r="P256" i="1"/>
  <c r="L252" i="1"/>
  <c r="M252" i="1" s="1"/>
  <c r="P252" i="1"/>
  <c r="L244" i="1"/>
  <c r="M244" i="1" s="1"/>
  <c r="P244" i="1"/>
  <c r="L240" i="1"/>
  <c r="M240" i="1" s="1"/>
  <c r="P240" i="1"/>
  <c r="L236" i="1"/>
  <c r="M236" i="1" s="1"/>
  <c r="P236" i="1"/>
  <c r="L228" i="1"/>
  <c r="M228" i="1" s="1"/>
  <c r="P228" i="1"/>
  <c r="L224" i="1"/>
  <c r="M224" i="1" s="1"/>
  <c r="P224" i="1"/>
  <c r="L220" i="1"/>
  <c r="M220" i="1" s="1"/>
  <c r="P220" i="1"/>
  <c r="L208" i="1"/>
  <c r="M208" i="1" s="1"/>
  <c r="P208" i="1"/>
  <c r="L204" i="1"/>
  <c r="M204" i="1" s="1"/>
  <c r="P204" i="1"/>
  <c r="L196" i="1"/>
  <c r="M196" i="1" s="1"/>
  <c r="P196" i="1"/>
  <c r="L192" i="1"/>
  <c r="M192" i="1" s="1"/>
  <c r="P192" i="1"/>
  <c r="L188" i="1"/>
  <c r="M188" i="1" s="1"/>
  <c r="P188" i="1"/>
  <c r="L180" i="1"/>
  <c r="M180" i="1" s="1"/>
  <c r="P180" i="1"/>
  <c r="L176" i="1"/>
  <c r="M176" i="1" s="1"/>
  <c r="P176" i="1"/>
  <c r="L172" i="1"/>
  <c r="M172" i="1" s="1"/>
  <c r="P172" i="1"/>
  <c r="L164" i="1"/>
  <c r="M164" i="1" s="1"/>
  <c r="P164" i="1"/>
  <c r="L160" i="1"/>
  <c r="M160" i="1" s="1"/>
  <c r="P160" i="1"/>
  <c r="L156" i="1"/>
  <c r="M156" i="1" s="1"/>
  <c r="P156" i="1"/>
  <c r="L148" i="1"/>
  <c r="M148" i="1" s="1"/>
  <c r="P148" i="1"/>
  <c r="L144" i="1"/>
  <c r="M144" i="1" s="1"/>
  <c r="P144" i="1"/>
  <c r="L140" i="1"/>
  <c r="M140" i="1" s="1"/>
  <c r="P140" i="1"/>
  <c r="L132" i="1"/>
  <c r="M132" i="1" s="1"/>
  <c r="P132" i="1"/>
  <c r="L128" i="1"/>
  <c r="M128" i="1" s="1"/>
  <c r="P128" i="1"/>
  <c r="L124" i="1"/>
  <c r="M124" i="1" s="1"/>
  <c r="P124" i="1"/>
  <c r="L116" i="1"/>
  <c r="M116" i="1" s="1"/>
  <c r="P116" i="1"/>
  <c r="L112" i="1"/>
  <c r="M112" i="1" s="1"/>
  <c r="P112" i="1"/>
  <c r="L108" i="1"/>
  <c r="M108" i="1" s="1"/>
  <c r="P108" i="1"/>
  <c r="L100" i="1"/>
  <c r="M100" i="1" s="1"/>
  <c r="P100" i="1"/>
  <c r="L96" i="1"/>
  <c r="M96" i="1" s="1"/>
  <c r="P96" i="1"/>
  <c r="L92" i="1"/>
  <c r="M92" i="1" s="1"/>
  <c r="P92" i="1"/>
  <c r="L84" i="1"/>
  <c r="M84" i="1" s="1"/>
  <c r="P84" i="1"/>
  <c r="L80" i="1"/>
  <c r="M80" i="1" s="1"/>
  <c r="P80" i="1"/>
  <c r="L76" i="1"/>
  <c r="M76" i="1" s="1"/>
  <c r="P76" i="1"/>
  <c r="L68" i="1"/>
  <c r="M68" i="1" s="1"/>
  <c r="P68" i="1"/>
  <c r="L64" i="1"/>
  <c r="M64" i="1" s="1"/>
  <c r="P64" i="1"/>
  <c r="L60" i="1"/>
  <c r="M60" i="1" s="1"/>
  <c r="P60" i="1"/>
  <c r="L52" i="1"/>
  <c r="M52" i="1" s="1"/>
  <c r="P52" i="1"/>
  <c r="L48" i="1"/>
  <c r="M48" i="1" s="1"/>
  <c r="P48" i="1"/>
  <c r="L44" i="1"/>
  <c r="M44" i="1" s="1"/>
  <c r="P44" i="1"/>
  <c r="L36" i="1"/>
  <c r="M36" i="1" s="1"/>
  <c r="P36" i="1"/>
  <c r="L32" i="1"/>
  <c r="M32" i="1" s="1"/>
  <c r="P32" i="1"/>
  <c r="L28" i="1"/>
  <c r="M28" i="1" s="1"/>
  <c r="P28" i="1"/>
  <c r="L24" i="1"/>
  <c r="M24" i="1" s="1"/>
  <c r="P24" i="1"/>
  <c r="L20" i="1"/>
  <c r="M20" i="1" s="1"/>
  <c r="P20" i="1"/>
  <c r="L16" i="1"/>
  <c r="M16" i="1" s="1"/>
  <c r="P16" i="1"/>
  <c r="L12" i="1"/>
  <c r="M12" i="1" s="1"/>
  <c r="P12" i="1"/>
  <c r="L8" i="1"/>
  <c r="P8" i="1"/>
  <c r="L4" i="1"/>
  <c r="Q4" i="1" s="1"/>
  <c r="P4" i="1"/>
  <c r="P897" i="1"/>
  <c r="P881" i="1"/>
  <c r="P865" i="1"/>
  <c r="P849" i="1"/>
  <c r="P833" i="1"/>
  <c r="P817" i="1"/>
  <c r="P801" i="1"/>
  <c r="P785" i="1"/>
  <c r="P769" i="1"/>
  <c r="P753" i="1"/>
  <c r="P737" i="1"/>
  <c r="P721" i="1"/>
  <c r="P705" i="1"/>
  <c r="P689" i="1"/>
  <c r="P673" i="1"/>
  <c r="P657" i="1"/>
  <c r="P641" i="1"/>
  <c r="P625" i="1"/>
  <c r="P609" i="1"/>
  <c r="P593" i="1"/>
  <c r="P577" i="1"/>
  <c r="P561" i="1"/>
  <c r="P544" i="1"/>
  <c r="P512" i="1"/>
  <c r="P472" i="1"/>
  <c r="P408" i="1"/>
  <c r="P344" i="1"/>
  <c r="P280" i="1"/>
  <c r="P216" i="1"/>
  <c r="P152" i="1"/>
  <c r="P88" i="1"/>
  <c r="L519" i="1"/>
  <c r="S5" i="1"/>
  <c r="L2" i="1"/>
  <c r="P2" i="1"/>
  <c r="L890" i="1"/>
  <c r="P890" i="1"/>
  <c r="L882" i="1"/>
  <c r="M882" i="1" s="1"/>
  <c r="P882" i="1"/>
  <c r="L870" i="1"/>
  <c r="P870" i="1"/>
  <c r="L858" i="1"/>
  <c r="M858" i="1" s="1"/>
  <c r="P858" i="1"/>
  <c r="L846" i="1"/>
  <c r="M846" i="1" s="1"/>
  <c r="P846" i="1"/>
  <c r="L834" i="1"/>
  <c r="M834" i="1" s="1"/>
  <c r="P834" i="1"/>
  <c r="L822" i="1"/>
  <c r="P822" i="1"/>
  <c r="L810" i="1"/>
  <c r="M810" i="1" s="1"/>
  <c r="P810" i="1"/>
  <c r="L806" i="1"/>
  <c r="P806" i="1"/>
  <c r="L794" i="1"/>
  <c r="M794" i="1" s="1"/>
  <c r="P794" i="1"/>
  <c r="L782" i="1"/>
  <c r="M782" i="1" s="1"/>
  <c r="P782" i="1"/>
  <c r="L770" i="1"/>
  <c r="M770" i="1" s="1"/>
  <c r="P770" i="1"/>
  <c r="L758" i="1"/>
  <c r="P758" i="1"/>
  <c r="L746" i="1"/>
  <c r="M746" i="1" s="1"/>
  <c r="P746" i="1"/>
  <c r="L738" i="1"/>
  <c r="P738" i="1"/>
  <c r="L730" i="1"/>
  <c r="M730" i="1" s="1"/>
  <c r="P730" i="1"/>
  <c r="L718" i="1"/>
  <c r="P718" i="1"/>
  <c r="L706" i="1"/>
  <c r="M706" i="1" s="1"/>
  <c r="P706" i="1"/>
  <c r="L694" i="1"/>
  <c r="P694" i="1"/>
  <c r="L690" i="1"/>
  <c r="M690" i="1" s="1"/>
  <c r="P690" i="1"/>
  <c r="L678" i="1"/>
  <c r="P678" i="1"/>
  <c r="L666" i="1"/>
  <c r="M666" i="1" s="1"/>
  <c r="P666" i="1"/>
  <c r="L634" i="1"/>
  <c r="P634" i="1"/>
  <c r="L622" i="1"/>
  <c r="M622" i="1" s="1"/>
  <c r="P622" i="1"/>
  <c r="L602" i="1"/>
  <c r="Q602" i="1" s="1"/>
  <c r="P602" i="1"/>
  <c r="L470" i="1"/>
  <c r="M470" i="1" s="1"/>
  <c r="P470" i="1"/>
  <c r="L896" i="1"/>
  <c r="M896" i="1" s="1"/>
  <c r="P896" i="1"/>
  <c r="L888" i="1"/>
  <c r="M888" i="1" s="1"/>
  <c r="P888" i="1"/>
  <c r="L884" i="1"/>
  <c r="P884" i="1"/>
  <c r="L876" i="1"/>
  <c r="M876" i="1" s="1"/>
  <c r="P876" i="1"/>
  <c r="L868" i="1"/>
  <c r="M868" i="1" s="1"/>
  <c r="P868" i="1"/>
  <c r="L860" i="1"/>
  <c r="M860" i="1" s="1"/>
  <c r="P860" i="1"/>
  <c r="L852" i="1"/>
  <c r="P852" i="1"/>
  <c r="L848" i="1"/>
  <c r="M848" i="1" s="1"/>
  <c r="P848" i="1"/>
  <c r="L840" i="1"/>
  <c r="O840" i="1" s="1" a="1"/>
  <c r="O840" i="1" s="1"/>
  <c r="P840" i="1"/>
  <c r="L832" i="1"/>
  <c r="M832" i="1" s="1"/>
  <c r="P832" i="1"/>
  <c r="L824" i="1"/>
  <c r="M824" i="1" s="1"/>
  <c r="P824" i="1"/>
  <c r="L816" i="1"/>
  <c r="M816" i="1" s="1"/>
  <c r="P816" i="1"/>
  <c r="L812" i="1"/>
  <c r="O812" i="1" s="1" a="1"/>
  <c r="O812" i="1" s="1"/>
  <c r="P812" i="1"/>
  <c r="L804" i="1"/>
  <c r="M804" i="1" s="1"/>
  <c r="P804" i="1"/>
  <c r="L792" i="1"/>
  <c r="M792" i="1" s="1"/>
  <c r="P792" i="1"/>
  <c r="L784" i="1"/>
  <c r="M784" i="1" s="1"/>
  <c r="P784" i="1"/>
  <c r="L776" i="1"/>
  <c r="P776" i="1"/>
  <c r="L768" i="1"/>
  <c r="M768" i="1" s="1"/>
  <c r="P768" i="1"/>
  <c r="L764" i="1"/>
  <c r="M764" i="1" s="1"/>
  <c r="P764" i="1"/>
  <c r="L756" i="1"/>
  <c r="M756" i="1" s="1"/>
  <c r="P756" i="1"/>
  <c r="L748" i="1"/>
  <c r="P748" i="1"/>
  <c r="L744" i="1"/>
  <c r="M744" i="1" s="1"/>
  <c r="P744" i="1"/>
  <c r="L736" i="1"/>
  <c r="O736" i="1" s="1" a="1"/>
  <c r="O736" i="1" s="1"/>
  <c r="P736" i="1"/>
  <c r="L728" i="1"/>
  <c r="M728" i="1" s="1"/>
  <c r="P728" i="1"/>
  <c r="L724" i="1"/>
  <c r="M724" i="1" s="1"/>
  <c r="P724" i="1"/>
  <c r="L716" i="1"/>
  <c r="M716" i="1" s="1"/>
  <c r="P716" i="1"/>
  <c r="L708" i="1"/>
  <c r="O708" i="1" s="1" a="1"/>
  <c r="O708" i="1" s="1"/>
  <c r="P708" i="1"/>
  <c r="L700" i="1"/>
  <c r="M700" i="1" s="1"/>
  <c r="P700" i="1"/>
  <c r="L692" i="1"/>
  <c r="M692" i="1" s="1"/>
  <c r="P692" i="1"/>
  <c r="L688" i="1"/>
  <c r="M688" i="1" s="1"/>
  <c r="P688" i="1"/>
  <c r="L680" i="1"/>
  <c r="M680" i="1" s="1"/>
  <c r="P680" i="1"/>
  <c r="L672" i="1"/>
  <c r="M672" i="1" s="1"/>
  <c r="P672" i="1"/>
  <c r="L668" i="1"/>
  <c r="P668" i="1"/>
  <c r="L660" i="1"/>
  <c r="M660" i="1" s="1"/>
  <c r="P660" i="1"/>
  <c r="L652" i="1"/>
  <c r="M652" i="1" s="1"/>
  <c r="P652" i="1"/>
  <c r="L648" i="1"/>
  <c r="M648" i="1" s="1"/>
  <c r="P648" i="1"/>
  <c r="L640" i="1"/>
  <c r="M640" i="1" s="1"/>
  <c r="P640" i="1"/>
  <c r="L632" i="1"/>
  <c r="M632" i="1" s="1"/>
  <c r="P632" i="1"/>
  <c r="L624" i="1"/>
  <c r="P624" i="1"/>
  <c r="L620" i="1"/>
  <c r="M620" i="1" s="1"/>
  <c r="P620" i="1"/>
  <c r="L612" i="1"/>
  <c r="M612" i="1" s="1"/>
  <c r="P612" i="1"/>
  <c r="L604" i="1"/>
  <c r="M604" i="1" s="1"/>
  <c r="P604" i="1"/>
  <c r="L596" i="1"/>
  <c r="O596" i="1" s="1" a="1"/>
  <c r="O596" i="1" s="1"/>
  <c r="P596" i="1"/>
  <c r="L592" i="1"/>
  <c r="M592" i="1" s="1"/>
  <c r="P592" i="1"/>
  <c r="L584" i="1"/>
  <c r="O584" i="1" s="1" a="1"/>
  <c r="O584" i="1" s="1"/>
  <c r="P584" i="1"/>
  <c r="L576" i="1"/>
  <c r="M576" i="1" s="1"/>
  <c r="P576" i="1"/>
  <c r="L572" i="1"/>
  <c r="M572" i="1" s="1"/>
  <c r="P572" i="1"/>
  <c r="L564" i="1"/>
  <c r="M564" i="1" s="1"/>
  <c r="P564" i="1"/>
  <c r="L556" i="1"/>
  <c r="P556" i="1"/>
  <c r="L540" i="1"/>
  <c r="M540" i="1" s="1"/>
  <c r="P540" i="1"/>
  <c r="L524" i="1"/>
  <c r="P524" i="1"/>
  <c r="L508" i="1"/>
  <c r="M508" i="1" s="1"/>
  <c r="P508" i="1"/>
  <c r="L480" i="1"/>
  <c r="M480" i="1" s="1"/>
  <c r="P480" i="1"/>
  <c r="L468" i="1"/>
  <c r="M468" i="1" s="1"/>
  <c r="P468" i="1"/>
  <c r="L464" i="1"/>
  <c r="M464" i="1" s="1"/>
  <c r="P464" i="1"/>
  <c r="L460" i="1"/>
  <c r="M460" i="1" s="1"/>
  <c r="P460" i="1"/>
  <c r="L452" i="1"/>
  <c r="O452" i="1" s="1" a="1"/>
  <c r="O452" i="1" s="1"/>
  <c r="P452" i="1"/>
  <c r="L432" i="1"/>
  <c r="M432" i="1" s="1"/>
  <c r="P432" i="1"/>
  <c r="L420" i="1"/>
  <c r="M420" i="1" s="1"/>
  <c r="P420" i="1"/>
  <c r="L416" i="1"/>
  <c r="M416" i="1" s="1"/>
  <c r="P416" i="1"/>
  <c r="L412" i="1"/>
  <c r="M412" i="1" s="1"/>
  <c r="P412" i="1"/>
  <c r="L404" i="1"/>
  <c r="M404" i="1" s="1"/>
  <c r="P404" i="1"/>
  <c r="L400" i="1"/>
  <c r="M400" i="1" s="1"/>
  <c r="P400" i="1"/>
  <c r="L396" i="1"/>
  <c r="M396" i="1" s="1"/>
  <c r="P396" i="1"/>
  <c r="L388" i="1"/>
  <c r="M388" i="1" s="1"/>
  <c r="P388" i="1"/>
  <c r="L372" i="1"/>
  <c r="M372" i="1" s="1"/>
  <c r="P372" i="1"/>
  <c r="L368" i="1"/>
  <c r="M368" i="1" s="1"/>
  <c r="P368" i="1"/>
  <c r="L364" i="1"/>
  <c r="M364" i="1" s="1"/>
  <c r="P364" i="1"/>
  <c r="L356" i="1"/>
  <c r="M356" i="1" s="1"/>
  <c r="P356" i="1"/>
  <c r="L340" i="1"/>
  <c r="M340" i="1" s="1"/>
  <c r="P340" i="1"/>
  <c r="L336" i="1"/>
  <c r="M336" i="1" s="1"/>
  <c r="P336" i="1"/>
  <c r="L332" i="1"/>
  <c r="M332" i="1" s="1"/>
  <c r="P332" i="1"/>
  <c r="L324" i="1"/>
  <c r="M324" i="1" s="1"/>
  <c r="P324" i="1"/>
  <c r="L320" i="1"/>
  <c r="M320" i="1" s="1"/>
  <c r="P320" i="1"/>
  <c r="L316" i="1"/>
  <c r="M316" i="1" s="1"/>
  <c r="P316" i="1"/>
  <c r="L308" i="1"/>
  <c r="M308" i="1" s="1"/>
  <c r="P308" i="1"/>
  <c r="L212" i="1"/>
  <c r="M212" i="1" s="1"/>
  <c r="P212" i="1"/>
  <c r="L899" i="1"/>
  <c r="M899" i="1" s="1"/>
  <c r="P899" i="1"/>
  <c r="L895" i="1"/>
  <c r="P895" i="1"/>
  <c r="L891" i="1"/>
  <c r="M891" i="1" s="1"/>
  <c r="P891" i="1"/>
  <c r="L887" i="1"/>
  <c r="O887" i="1" s="1" a="1"/>
  <c r="O887" i="1" s="1"/>
  <c r="P887" i="1"/>
  <c r="L883" i="1"/>
  <c r="M883" i="1" s="1"/>
  <c r="P883" i="1"/>
  <c r="L879" i="1"/>
  <c r="O879" i="1" s="1" a="1"/>
  <c r="O879" i="1" s="1"/>
  <c r="P879" i="1"/>
  <c r="L875" i="1"/>
  <c r="M875" i="1" s="1"/>
  <c r="P875" i="1"/>
  <c r="L871" i="1"/>
  <c r="P871" i="1"/>
  <c r="L867" i="1"/>
  <c r="M867" i="1" s="1"/>
  <c r="P867" i="1"/>
  <c r="L863" i="1"/>
  <c r="P863" i="1"/>
  <c r="L859" i="1"/>
  <c r="M859" i="1" s="1"/>
  <c r="P859" i="1"/>
  <c r="L855" i="1"/>
  <c r="O855" i="1" s="1" a="1"/>
  <c r="O855" i="1" s="1"/>
  <c r="P855" i="1"/>
  <c r="L851" i="1"/>
  <c r="M851" i="1" s="1"/>
  <c r="P851" i="1"/>
  <c r="L847" i="1"/>
  <c r="O847" i="1" s="1" a="1"/>
  <c r="O847" i="1" s="1"/>
  <c r="P847" i="1"/>
  <c r="L843" i="1"/>
  <c r="M843" i="1" s="1"/>
  <c r="P843" i="1"/>
  <c r="L839" i="1"/>
  <c r="P839" i="1"/>
  <c r="L835" i="1"/>
  <c r="M835" i="1" s="1"/>
  <c r="P835" i="1"/>
  <c r="L831" i="1"/>
  <c r="P831" i="1"/>
  <c r="L827" i="1"/>
  <c r="M827" i="1" s="1"/>
  <c r="P827" i="1"/>
  <c r="L823" i="1"/>
  <c r="O823" i="1" s="1" a="1"/>
  <c r="O823" i="1" s="1"/>
  <c r="P823" i="1"/>
  <c r="L819" i="1"/>
  <c r="M819" i="1" s="1"/>
  <c r="P819" i="1"/>
  <c r="L815" i="1"/>
  <c r="O815" i="1" s="1" a="1"/>
  <c r="O815" i="1" s="1"/>
  <c r="P815" i="1"/>
  <c r="L811" i="1"/>
  <c r="M811" i="1" s="1"/>
  <c r="P811" i="1"/>
  <c r="L807" i="1"/>
  <c r="P807" i="1"/>
  <c r="L803" i="1"/>
  <c r="M803" i="1" s="1"/>
  <c r="P803" i="1"/>
  <c r="L799" i="1"/>
  <c r="P799" i="1"/>
  <c r="L795" i="1"/>
  <c r="M795" i="1" s="1"/>
  <c r="P795" i="1"/>
  <c r="L791" i="1"/>
  <c r="O791" i="1" s="1" a="1"/>
  <c r="O791" i="1" s="1"/>
  <c r="P791" i="1"/>
  <c r="L787" i="1"/>
  <c r="M787" i="1" s="1"/>
  <c r="P787" i="1"/>
  <c r="L783" i="1"/>
  <c r="O783" i="1" s="1" a="1"/>
  <c r="O783" i="1" s="1"/>
  <c r="P783" i="1"/>
  <c r="L779" i="1"/>
  <c r="M779" i="1" s="1"/>
  <c r="P779" i="1"/>
  <c r="L775" i="1"/>
  <c r="P775" i="1"/>
  <c r="L771" i="1"/>
  <c r="M771" i="1" s="1"/>
  <c r="P771" i="1"/>
  <c r="L767" i="1"/>
  <c r="P767" i="1"/>
  <c r="L763" i="1"/>
  <c r="M763" i="1" s="1"/>
  <c r="P763" i="1"/>
  <c r="L759" i="1"/>
  <c r="O759" i="1" s="1" a="1"/>
  <c r="O759" i="1" s="1"/>
  <c r="P759" i="1"/>
  <c r="L755" i="1"/>
  <c r="M755" i="1" s="1"/>
  <c r="P755" i="1"/>
  <c r="L751" i="1"/>
  <c r="O751" i="1" s="1" a="1"/>
  <c r="O751" i="1" s="1"/>
  <c r="P751" i="1"/>
  <c r="L747" i="1"/>
  <c r="M747" i="1" s="1"/>
  <c r="P747" i="1"/>
  <c r="L743" i="1"/>
  <c r="P743" i="1"/>
  <c r="L739" i="1"/>
  <c r="M739" i="1" s="1"/>
  <c r="P739" i="1"/>
  <c r="L735" i="1"/>
  <c r="P735" i="1"/>
  <c r="L731" i="1"/>
  <c r="M731" i="1" s="1"/>
  <c r="P731" i="1"/>
  <c r="L727" i="1"/>
  <c r="O727" i="1" s="1" a="1"/>
  <c r="O727" i="1" s="1"/>
  <c r="P727" i="1"/>
  <c r="L723" i="1"/>
  <c r="M723" i="1" s="1"/>
  <c r="P723" i="1"/>
  <c r="L719" i="1"/>
  <c r="O719" i="1" s="1" a="1"/>
  <c r="O719" i="1" s="1"/>
  <c r="P719" i="1"/>
  <c r="L715" i="1"/>
  <c r="M715" i="1" s="1"/>
  <c r="P715" i="1"/>
  <c r="L711" i="1"/>
  <c r="P711" i="1"/>
  <c r="L707" i="1"/>
  <c r="M707" i="1" s="1"/>
  <c r="P707" i="1"/>
  <c r="L703" i="1"/>
  <c r="P703" i="1"/>
  <c r="L699" i="1"/>
  <c r="M699" i="1" s="1"/>
  <c r="P699" i="1"/>
  <c r="L695" i="1"/>
  <c r="O695" i="1" s="1" a="1"/>
  <c r="O695" i="1" s="1"/>
  <c r="P695" i="1"/>
  <c r="L691" i="1"/>
  <c r="M691" i="1" s="1"/>
  <c r="P691" i="1"/>
  <c r="L687" i="1"/>
  <c r="O687" i="1" s="1" a="1"/>
  <c r="O687" i="1" s="1"/>
  <c r="P687" i="1"/>
  <c r="L683" i="1"/>
  <c r="M683" i="1" s="1"/>
  <c r="P683" i="1"/>
  <c r="L679" i="1"/>
  <c r="P679" i="1"/>
  <c r="L675" i="1"/>
  <c r="M675" i="1" s="1"/>
  <c r="P675" i="1"/>
  <c r="L671" i="1"/>
  <c r="P671" i="1"/>
  <c r="L667" i="1"/>
  <c r="M667" i="1" s="1"/>
  <c r="P667" i="1"/>
  <c r="L663" i="1"/>
  <c r="O663" i="1" s="1" a="1"/>
  <c r="O663" i="1" s="1"/>
  <c r="P663" i="1"/>
  <c r="L659" i="1"/>
  <c r="M659" i="1" s="1"/>
  <c r="P659" i="1"/>
  <c r="L655" i="1"/>
  <c r="O655" i="1" s="1" a="1"/>
  <c r="O655" i="1" s="1"/>
  <c r="P655" i="1"/>
  <c r="L651" i="1"/>
  <c r="M651" i="1" s="1"/>
  <c r="P651" i="1"/>
  <c r="L647" i="1"/>
  <c r="P647" i="1"/>
  <c r="L643" i="1"/>
  <c r="M643" i="1" s="1"/>
  <c r="P643" i="1"/>
  <c r="L639" i="1"/>
  <c r="P639" i="1"/>
  <c r="L635" i="1"/>
  <c r="M635" i="1" s="1"/>
  <c r="P635" i="1"/>
  <c r="L631" i="1"/>
  <c r="O631" i="1" s="1" a="1"/>
  <c r="O631" i="1" s="1"/>
  <c r="P631" i="1"/>
  <c r="L627" i="1"/>
  <c r="M627" i="1" s="1"/>
  <c r="P627" i="1"/>
  <c r="L623" i="1"/>
  <c r="O623" i="1" s="1" a="1"/>
  <c r="O623" i="1" s="1"/>
  <c r="P623" i="1"/>
  <c r="L619" i="1"/>
  <c r="M619" i="1" s="1"/>
  <c r="P619" i="1"/>
  <c r="L615" i="1"/>
  <c r="P615" i="1"/>
  <c r="L611" i="1"/>
  <c r="M611" i="1" s="1"/>
  <c r="P611" i="1"/>
  <c r="L607" i="1"/>
  <c r="P607" i="1"/>
  <c r="L603" i="1"/>
  <c r="M603" i="1" s="1"/>
  <c r="P603" i="1"/>
  <c r="L599" i="1"/>
  <c r="O599" i="1" s="1" a="1"/>
  <c r="O599" i="1" s="1"/>
  <c r="P599" i="1"/>
  <c r="L595" i="1"/>
  <c r="M595" i="1" s="1"/>
  <c r="P595" i="1"/>
  <c r="L591" i="1"/>
  <c r="O591" i="1" s="1" a="1"/>
  <c r="O591" i="1" s="1"/>
  <c r="P591" i="1"/>
  <c r="L587" i="1"/>
  <c r="M587" i="1" s="1"/>
  <c r="P587" i="1"/>
  <c r="L583" i="1"/>
  <c r="P583" i="1"/>
  <c r="L579" i="1"/>
  <c r="M579" i="1" s="1"/>
  <c r="P579" i="1"/>
  <c r="L575" i="1"/>
  <c r="P575" i="1"/>
  <c r="L571" i="1"/>
  <c r="M571" i="1" s="1"/>
  <c r="P571" i="1"/>
  <c r="L567" i="1"/>
  <c r="O567" i="1" s="1" a="1"/>
  <c r="O567" i="1" s="1"/>
  <c r="P567" i="1"/>
  <c r="L563" i="1"/>
  <c r="M563" i="1" s="1"/>
  <c r="P563" i="1"/>
  <c r="L559" i="1"/>
  <c r="O559" i="1" s="1" a="1"/>
  <c r="O559" i="1" s="1"/>
  <c r="P559" i="1"/>
  <c r="L555" i="1"/>
  <c r="M555" i="1" s="1"/>
  <c r="P555" i="1"/>
  <c r="L551" i="1"/>
  <c r="P551" i="1"/>
  <c r="L547" i="1"/>
  <c r="M547" i="1" s="1"/>
  <c r="P547" i="1"/>
  <c r="L543" i="1"/>
  <c r="P543" i="1"/>
  <c r="L539" i="1"/>
  <c r="M539" i="1" s="1"/>
  <c r="P539" i="1"/>
  <c r="P535" i="1"/>
  <c r="L535" i="1"/>
  <c r="M535" i="1" s="1"/>
  <c r="L531" i="1"/>
  <c r="M531" i="1" s="1"/>
  <c r="P531" i="1"/>
  <c r="L527" i="1"/>
  <c r="P527" i="1"/>
  <c r="L523" i="1"/>
  <c r="M523" i="1" s="1"/>
  <c r="P523" i="1"/>
  <c r="L515" i="1"/>
  <c r="P515" i="1"/>
  <c r="L511" i="1"/>
  <c r="M511" i="1" s="1"/>
  <c r="P511" i="1"/>
  <c r="L507" i="1"/>
  <c r="P507" i="1"/>
  <c r="P503" i="1"/>
  <c r="L503" i="1"/>
  <c r="M503" i="1" s="1"/>
  <c r="L499" i="1"/>
  <c r="O499" i="1" s="1" a="1"/>
  <c r="O499" i="1" s="1"/>
  <c r="P499" i="1"/>
  <c r="L495" i="1"/>
  <c r="M495" i="1" s="1"/>
  <c r="P495" i="1"/>
  <c r="L491" i="1"/>
  <c r="O491" i="1" s="1" a="1"/>
  <c r="O491" i="1" s="1"/>
  <c r="P491" i="1"/>
  <c r="P487" i="1"/>
  <c r="L487" i="1"/>
  <c r="M487" i="1" s="1"/>
  <c r="L483" i="1"/>
  <c r="P483" i="1"/>
  <c r="L479" i="1"/>
  <c r="M479" i="1" s="1"/>
  <c r="P479" i="1"/>
  <c r="L475" i="1"/>
  <c r="P475" i="1"/>
  <c r="P471" i="1"/>
  <c r="L471" i="1"/>
  <c r="M471" i="1" s="1"/>
  <c r="L467" i="1"/>
  <c r="O467" i="1" s="1" a="1"/>
  <c r="O467" i="1" s="1"/>
  <c r="P467" i="1"/>
  <c r="L463" i="1"/>
  <c r="M463" i="1" s="1"/>
  <c r="P463" i="1"/>
  <c r="L459" i="1"/>
  <c r="O459" i="1" s="1" a="1"/>
  <c r="O459" i="1" s="1"/>
  <c r="P459" i="1"/>
  <c r="L451" i="1"/>
  <c r="M451" i="1" s="1"/>
  <c r="P451" i="1"/>
  <c r="L447" i="1"/>
  <c r="Q447" i="1" s="1"/>
  <c r="P447" i="1"/>
  <c r="L443" i="1"/>
  <c r="M443" i="1" s="1"/>
  <c r="P443" i="1"/>
  <c r="P439" i="1"/>
  <c r="L439" i="1"/>
  <c r="M439" i="1" s="1"/>
  <c r="L435" i="1"/>
  <c r="M435" i="1" s="1"/>
  <c r="P435" i="1"/>
  <c r="L431" i="1"/>
  <c r="P431" i="1"/>
  <c r="L427" i="1"/>
  <c r="M427" i="1" s="1"/>
  <c r="P427" i="1"/>
  <c r="P423" i="1"/>
  <c r="L423" i="1"/>
  <c r="M423" i="1" s="1"/>
  <c r="L419" i="1"/>
  <c r="M419" i="1" s="1"/>
  <c r="P419" i="1"/>
  <c r="L415" i="1"/>
  <c r="P415" i="1"/>
  <c r="L411" i="1"/>
  <c r="M411" i="1" s="1"/>
  <c r="P411" i="1"/>
  <c r="P407" i="1"/>
  <c r="L407" i="1"/>
  <c r="M407" i="1" s="1"/>
  <c r="P893" i="1"/>
  <c r="P877" i="1"/>
  <c r="P861" i="1"/>
  <c r="P845" i="1"/>
  <c r="P829" i="1"/>
  <c r="P813" i="1"/>
  <c r="P797" i="1"/>
  <c r="P781" i="1"/>
  <c r="P765" i="1"/>
  <c r="P749" i="1"/>
  <c r="P733" i="1"/>
  <c r="P717" i="1"/>
  <c r="P701" i="1"/>
  <c r="P685" i="1"/>
  <c r="P669" i="1"/>
  <c r="P653" i="1"/>
  <c r="P637" i="1"/>
  <c r="P621" i="1"/>
  <c r="P605" i="1"/>
  <c r="P589" i="1"/>
  <c r="P573" i="1"/>
  <c r="P557" i="1"/>
  <c r="P536" i="1"/>
  <c r="P504" i="1"/>
  <c r="P456" i="1"/>
  <c r="P392" i="1"/>
  <c r="P328" i="1"/>
  <c r="P264" i="1"/>
  <c r="P200" i="1"/>
  <c r="P136" i="1"/>
  <c r="P72" i="1"/>
  <c r="L646" i="1"/>
  <c r="M646" i="1" s="1"/>
  <c r="L403" i="1"/>
  <c r="M403" i="1" s="1"/>
  <c r="P403" i="1"/>
  <c r="L399" i="1"/>
  <c r="P399" i="1"/>
  <c r="L395" i="1"/>
  <c r="M395" i="1" s="1"/>
  <c r="P395" i="1"/>
  <c r="L387" i="1"/>
  <c r="M387" i="1" s="1"/>
  <c r="P387" i="1"/>
  <c r="L383" i="1"/>
  <c r="M383" i="1" s="1"/>
  <c r="P383" i="1"/>
  <c r="L379" i="1"/>
  <c r="M379" i="1" s="1"/>
  <c r="P379" i="1"/>
  <c r="L371" i="1"/>
  <c r="M371" i="1" s="1"/>
  <c r="P371" i="1"/>
  <c r="L367" i="1"/>
  <c r="P367" i="1"/>
  <c r="L363" i="1"/>
  <c r="M363" i="1" s="1"/>
  <c r="P363" i="1"/>
  <c r="L355" i="1"/>
  <c r="P355" i="1"/>
  <c r="L351" i="1"/>
  <c r="M351" i="1" s="1"/>
  <c r="P351" i="1"/>
  <c r="L347" i="1"/>
  <c r="P347" i="1"/>
  <c r="L339" i="1"/>
  <c r="M339" i="1" s="1"/>
  <c r="P339" i="1"/>
  <c r="L335" i="1"/>
  <c r="M335" i="1" s="1"/>
  <c r="P335" i="1"/>
  <c r="L331" i="1"/>
  <c r="M331" i="1" s="1"/>
  <c r="P331" i="1"/>
  <c r="L323" i="1"/>
  <c r="P323" i="1"/>
  <c r="L319" i="1"/>
  <c r="M319" i="1" s="1"/>
  <c r="P319" i="1"/>
  <c r="L315" i="1"/>
  <c r="P315" i="1"/>
  <c r="L307" i="1"/>
  <c r="M307" i="1" s="1"/>
  <c r="P307" i="1"/>
  <c r="L303" i="1"/>
  <c r="P303" i="1"/>
  <c r="L299" i="1"/>
  <c r="M299" i="1" s="1"/>
  <c r="P299" i="1"/>
  <c r="L291" i="1"/>
  <c r="P291" i="1"/>
  <c r="L287" i="1"/>
  <c r="M287" i="1" s="1"/>
  <c r="P287" i="1"/>
  <c r="L283" i="1"/>
  <c r="P283" i="1"/>
  <c r="L275" i="1"/>
  <c r="M275" i="1" s="1"/>
  <c r="P275" i="1"/>
  <c r="L271" i="1"/>
  <c r="P271" i="1"/>
  <c r="L267" i="1"/>
  <c r="M267" i="1" s="1"/>
  <c r="P267" i="1"/>
  <c r="L259" i="1"/>
  <c r="O259" i="1" s="1" a="1"/>
  <c r="O259" i="1" s="1"/>
  <c r="P259" i="1"/>
  <c r="L255" i="1"/>
  <c r="M255" i="1" s="1"/>
  <c r="P255" i="1"/>
  <c r="L251" i="1"/>
  <c r="P251" i="1"/>
  <c r="L243" i="1"/>
  <c r="M243" i="1" s="1"/>
  <c r="P243" i="1"/>
  <c r="L239" i="1"/>
  <c r="P239" i="1"/>
  <c r="L235" i="1"/>
  <c r="M235" i="1" s="1"/>
  <c r="P235" i="1"/>
  <c r="L227" i="1"/>
  <c r="P227" i="1"/>
  <c r="L223" i="1"/>
  <c r="M223" i="1" s="1"/>
  <c r="P223" i="1"/>
  <c r="L219" i="1"/>
  <c r="P219" i="1"/>
  <c r="L211" i="1"/>
  <c r="M211" i="1" s="1"/>
  <c r="P211" i="1"/>
  <c r="L207" i="1"/>
  <c r="M207" i="1" s="1"/>
  <c r="P207" i="1"/>
  <c r="L203" i="1"/>
  <c r="M203" i="1" s="1"/>
  <c r="P203" i="1"/>
  <c r="L195" i="1"/>
  <c r="M195" i="1" s="1"/>
  <c r="P195" i="1"/>
  <c r="L191" i="1"/>
  <c r="Q191" i="1" s="1"/>
  <c r="P191" i="1"/>
  <c r="L187" i="1"/>
  <c r="O187" i="1" s="1" a="1"/>
  <c r="O187" i="1" s="1"/>
  <c r="P187" i="1"/>
  <c r="L179" i="1"/>
  <c r="M179" i="1" s="1"/>
  <c r="P179" i="1"/>
  <c r="L175" i="1"/>
  <c r="M175" i="1" s="1"/>
  <c r="P175" i="1"/>
  <c r="L171" i="1"/>
  <c r="M171" i="1" s="1"/>
  <c r="P171" i="1"/>
  <c r="L163" i="1"/>
  <c r="M163" i="1" s="1"/>
  <c r="P163" i="1"/>
  <c r="L159" i="1"/>
  <c r="O159" i="1" s="1" a="1"/>
  <c r="O159" i="1" s="1"/>
  <c r="P159" i="1"/>
  <c r="L155" i="1"/>
  <c r="P155" i="1"/>
  <c r="L147" i="1"/>
  <c r="M147" i="1" s="1"/>
  <c r="P147" i="1"/>
  <c r="L143" i="1"/>
  <c r="O143" i="1" s="1" a="1"/>
  <c r="O143" i="1" s="1"/>
  <c r="P143" i="1"/>
  <c r="L139" i="1"/>
  <c r="M139" i="1" s="1"/>
  <c r="P139" i="1"/>
  <c r="L131" i="1"/>
  <c r="M131" i="1" s="1"/>
  <c r="P131" i="1"/>
  <c r="L127" i="1"/>
  <c r="Q127" i="1" s="1"/>
  <c r="P127" i="1"/>
  <c r="L123" i="1"/>
  <c r="P123" i="1"/>
  <c r="L115" i="1"/>
  <c r="M115" i="1" s="1"/>
  <c r="P115" i="1"/>
  <c r="L111" i="1"/>
  <c r="Q111" i="1" s="1"/>
  <c r="P111" i="1"/>
  <c r="L107" i="1"/>
  <c r="M107" i="1" s="1"/>
  <c r="P107" i="1"/>
  <c r="L99" i="1"/>
  <c r="M99" i="1" s="1"/>
  <c r="P99" i="1"/>
  <c r="L95" i="1"/>
  <c r="O95" i="1" s="1" a="1"/>
  <c r="O95" i="1" s="1"/>
  <c r="P95" i="1"/>
  <c r="L91" i="1"/>
  <c r="O91" i="1" s="1" a="1"/>
  <c r="O91" i="1" s="1"/>
  <c r="P91" i="1"/>
  <c r="L83" i="1"/>
  <c r="M83" i="1" s="1"/>
  <c r="P83" i="1"/>
  <c r="L79" i="1"/>
  <c r="Q79" i="1" s="1"/>
  <c r="P79" i="1"/>
  <c r="L75" i="1"/>
  <c r="M75" i="1" s="1"/>
  <c r="P75" i="1"/>
  <c r="L67" i="1"/>
  <c r="M67" i="1" s="1"/>
  <c r="P67" i="1"/>
  <c r="L63" i="1"/>
  <c r="Q63" i="1" s="1"/>
  <c r="P63" i="1"/>
  <c r="L59" i="1"/>
  <c r="O59" i="1" s="1" a="1"/>
  <c r="O59" i="1" s="1"/>
  <c r="P59" i="1"/>
  <c r="L51" i="1"/>
  <c r="M51" i="1" s="1"/>
  <c r="P51" i="1"/>
  <c r="L47" i="1"/>
  <c r="Q47" i="1" s="1"/>
  <c r="P47" i="1"/>
  <c r="L43" i="1"/>
  <c r="M43" i="1" s="1"/>
  <c r="P43" i="1"/>
  <c r="P35" i="1"/>
  <c r="L35" i="1"/>
  <c r="M35" i="1" s="1"/>
  <c r="P31" i="1"/>
  <c r="L31" i="1"/>
  <c r="M31" i="1" s="1"/>
  <c r="P27" i="1"/>
  <c r="L27" i="1"/>
  <c r="M27" i="1" s="1"/>
  <c r="P19" i="1"/>
  <c r="L19" i="1"/>
  <c r="M19" i="1" s="1"/>
  <c r="P15" i="1"/>
  <c r="L15" i="1"/>
  <c r="M15" i="1" s="1"/>
  <c r="P11" i="1"/>
  <c r="L11" i="1"/>
  <c r="M11" i="1" s="1"/>
  <c r="P3" i="1"/>
  <c r="L3" i="1"/>
  <c r="O3" i="1" s="1" a="1"/>
  <c r="O3" i="1" s="1"/>
  <c r="L23" i="1"/>
  <c r="M23" i="1" s="1"/>
  <c r="L87" i="1"/>
  <c r="M87" i="1" s="1"/>
  <c r="L151" i="1"/>
  <c r="M151" i="1" s="1"/>
  <c r="L215" i="1"/>
  <c r="M215" i="1" s="1"/>
  <c r="L279" i="1"/>
  <c r="M279" i="1" s="1"/>
  <c r="L343" i="1"/>
  <c r="M343" i="1" s="1"/>
  <c r="L434" i="1"/>
  <c r="P434" i="1"/>
  <c r="L430" i="1"/>
  <c r="M430" i="1" s="1"/>
  <c r="P430" i="1"/>
  <c r="L426" i="1"/>
  <c r="Q426" i="1" s="1"/>
  <c r="P426" i="1"/>
  <c r="L422" i="1"/>
  <c r="M422" i="1" s="1"/>
  <c r="P422" i="1"/>
  <c r="L418" i="1"/>
  <c r="Q418" i="1" s="1"/>
  <c r="P418" i="1"/>
  <c r="L414" i="1"/>
  <c r="M414" i="1" s="1"/>
  <c r="P414" i="1"/>
  <c r="L410" i="1"/>
  <c r="P410" i="1"/>
  <c r="L406" i="1"/>
  <c r="M406" i="1" s="1"/>
  <c r="P406" i="1"/>
  <c r="L402" i="1"/>
  <c r="P402" i="1"/>
  <c r="L398" i="1"/>
  <c r="M398" i="1" s="1"/>
  <c r="P398" i="1"/>
  <c r="L394" i="1"/>
  <c r="Q394" i="1" s="1"/>
  <c r="P394" i="1"/>
  <c r="L390" i="1"/>
  <c r="M390" i="1" s="1"/>
  <c r="P390" i="1"/>
  <c r="L386" i="1"/>
  <c r="Q386" i="1" s="1"/>
  <c r="P386" i="1"/>
  <c r="L382" i="1"/>
  <c r="M382" i="1" s="1"/>
  <c r="P382" i="1"/>
  <c r="L378" i="1"/>
  <c r="P378" i="1"/>
  <c r="L374" i="1"/>
  <c r="M374" i="1" s="1"/>
  <c r="P374" i="1"/>
  <c r="L370" i="1"/>
  <c r="P370" i="1"/>
  <c r="L366" i="1"/>
  <c r="M366" i="1" s="1"/>
  <c r="P366" i="1"/>
  <c r="L362" i="1"/>
  <c r="Q362" i="1" s="1"/>
  <c r="P362" i="1"/>
  <c r="L358" i="1"/>
  <c r="M358" i="1" s="1"/>
  <c r="P358" i="1"/>
  <c r="L354" i="1"/>
  <c r="Q354" i="1" s="1"/>
  <c r="P354" i="1"/>
  <c r="L350" i="1"/>
  <c r="M350" i="1" s="1"/>
  <c r="P350" i="1"/>
  <c r="L346" i="1"/>
  <c r="P346" i="1"/>
  <c r="L342" i="1"/>
  <c r="M342" i="1" s="1"/>
  <c r="P342" i="1"/>
  <c r="L338" i="1"/>
  <c r="P338" i="1"/>
  <c r="L334" i="1"/>
  <c r="M334" i="1" s="1"/>
  <c r="P334" i="1"/>
  <c r="L330" i="1"/>
  <c r="Q330" i="1" s="1"/>
  <c r="P330" i="1"/>
  <c r="L326" i="1"/>
  <c r="M326" i="1" s="1"/>
  <c r="P326" i="1"/>
  <c r="L322" i="1"/>
  <c r="Q322" i="1" s="1"/>
  <c r="P322" i="1"/>
  <c r="L318" i="1"/>
  <c r="M318" i="1" s="1"/>
  <c r="P318" i="1"/>
  <c r="L314" i="1"/>
  <c r="P314" i="1"/>
  <c r="L310" i="1"/>
  <c r="M310" i="1" s="1"/>
  <c r="P310" i="1"/>
  <c r="L306" i="1"/>
  <c r="P306" i="1"/>
  <c r="L302" i="1"/>
  <c r="M302" i="1" s="1"/>
  <c r="P302" i="1"/>
  <c r="L298" i="1"/>
  <c r="Q298" i="1" s="1"/>
  <c r="P298" i="1"/>
  <c r="L294" i="1"/>
  <c r="M294" i="1" s="1"/>
  <c r="P294" i="1"/>
  <c r="L290" i="1"/>
  <c r="Q290" i="1" s="1"/>
  <c r="P290" i="1"/>
  <c r="L286" i="1"/>
  <c r="M286" i="1" s="1"/>
  <c r="P286" i="1"/>
  <c r="L282" i="1"/>
  <c r="P282" i="1"/>
  <c r="L278" i="1"/>
  <c r="M278" i="1" s="1"/>
  <c r="P278" i="1"/>
  <c r="L274" i="1"/>
  <c r="P274" i="1"/>
  <c r="L270" i="1"/>
  <c r="M270" i="1" s="1"/>
  <c r="P270" i="1"/>
  <c r="L266" i="1"/>
  <c r="Q266" i="1" s="1"/>
  <c r="P266" i="1"/>
  <c r="L262" i="1"/>
  <c r="M262" i="1" s="1"/>
  <c r="P262" i="1"/>
  <c r="L258" i="1"/>
  <c r="Q258" i="1" s="1"/>
  <c r="P258" i="1"/>
  <c r="L254" i="1"/>
  <c r="M254" i="1" s="1"/>
  <c r="P254" i="1"/>
  <c r="L250" i="1"/>
  <c r="P250" i="1"/>
  <c r="L246" i="1"/>
  <c r="M246" i="1" s="1"/>
  <c r="P246" i="1"/>
  <c r="L242" i="1"/>
  <c r="P242" i="1"/>
  <c r="L238" i="1"/>
  <c r="M238" i="1" s="1"/>
  <c r="P238" i="1"/>
  <c r="L234" i="1"/>
  <c r="Q234" i="1" s="1"/>
  <c r="P234" i="1"/>
  <c r="L230" i="1"/>
  <c r="M230" i="1" s="1"/>
  <c r="P230" i="1"/>
  <c r="L226" i="1"/>
  <c r="Q226" i="1" s="1"/>
  <c r="P226" i="1"/>
  <c r="L222" i="1"/>
  <c r="M222" i="1" s="1"/>
  <c r="P222" i="1"/>
  <c r="L218" i="1"/>
  <c r="P218" i="1"/>
  <c r="L214" i="1"/>
  <c r="M214" i="1" s="1"/>
  <c r="P214" i="1"/>
  <c r="L210" i="1"/>
  <c r="P210" i="1"/>
  <c r="L206" i="1"/>
  <c r="M206" i="1" s="1"/>
  <c r="P206" i="1"/>
  <c r="L202" i="1"/>
  <c r="P202" i="1"/>
  <c r="L198" i="1"/>
  <c r="O198" i="1" s="1" a="1"/>
  <c r="O198" i="1" s="1"/>
  <c r="P198" i="1"/>
  <c r="L194" i="1"/>
  <c r="M194" i="1" s="1"/>
  <c r="P194" i="1"/>
  <c r="L190" i="1"/>
  <c r="M190" i="1" s="1"/>
  <c r="P190" i="1"/>
  <c r="L186" i="1"/>
  <c r="Q186" i="1" s="1"/>
  <c r="P186" i="1"/>
  <c r="L182" i="1"/>
  <c r="O182" i="1" s="1" a="1"/>
  <c r="O182" i="1" s="1"/>
  <c r="P182" i="1"/>
  <c r="L178" i="1"/>
  <c r="M178" i="1" s="1"/>
  <c r="P178" i="1"/>
  <c r="L174" i="1"/>
  <c r="O174" i="1" s="1" a="1"/>
  <c r="O174" i="1" s="1"/>
  <c r="P174" i="1"/>
  <c r="L170" i="1"/>
  <c r="Q170" i="1" s="1"/>
  <c r="P170" i="1"/>
  <c r="L166" i="1"/>
  <c r="O166" i="1" s="1" a="1"/>
  <c r="O166" i="1" s="1"/>
  <c r="P166" i="1"/>
  <c r="L162" i="1"/>
  <c r="M162" i="1" s="1"/>
  <c r="P162" i="1"/>
  <c r="L158" i="1"/>
  <c r="O158" i="1" s="1" a="1"/>
  <c r="O158" i="1" s="1"/>
  <c r="P158" i="1"/>
  <c r="L154" i="1"/>
  <c r="P154" i="1"/>
  <c r="L150" i="1"/>
  <c r="O150" i="1" s="1" a="1"/>
  <c r="O150" i="1" s="1"/>
  <c r="P150" i="1"/>
  <c r="L146" i="1"/>
  <c r="M146" i="1" s="1"/>
  <c r="P146" i="1"/>
  <c r="L142" i="1"/>
  <c r="O142" i="1" s="1" a="1"/>
  <c r="O142" i="1" s="1"/>
  <c r="P142" i="1"/>
  <c r="L138" i="1"/>
  <c r="P138" i="1"/>
  <c r="L134" i="1"/>
  <c r="M134" i="1" s="1"/>
  <c r="P134" i="1"/>
  <c r="L130" i="1"/>
  <c r="M130" i="1" s="1"/>
  <c r="P130" i="1"/>
  <c r="L126" i="1"/>
  <c r="M126" i="1" s="1"/>
  <c r="P126" i="1"/>
  <c r="L122" i="1"/>
  <c r="Q122" i="1" s="1"/>
  <c r="P122" i="1"/>
  <c r="L118" i="1"/>
  <c r="O118" i="1" s="1" a="1"/>
  <c r="O118" i="1" s="1"/>
  <c r="P118" i="1"/>
  <c r="L114" i="1"/>
  <c r="M114" i="1" s="1"/>
  <c r="P114" i="1"/>
  <c r="L110" i="1"/>
  <c r="O110" i="1" s="1" a="1"/>
  <c r="O110" i="1" s="1"/>
  <c r="P110" i="1"/>
  <c r="L106" i="1"/>
  <c r="Q106" i="1" s="1"/>
  <c r="P106" i="1"/>
  <c r="L102" i="1"/>
  <c r="O102" i="1" s="1" a="1"/>
  <c r="O102" i="1" s="1"/>
  <c r="P102" i="1"/>
  <c r="L98" i="1"/>
  <c r="M98" i="1" s="1"/>
  <c r="P98" i="1"/>
  <c r="L94" i="1"/>
  <c r="M94" i="1" s="1"/>
  <c r="P94" i="1"/>
  <c r="L90" i="1"/>
  <c r="P90" i="1"/>
  <c r="L86" i="1"/>
  <c r="O86" i="1" s="1" a="1"/>
  <c r="O86" i="1" s="1"/>
  <c r="P86" i="1"/>
  <c r="L82" i="1"/>
  <c r="M82" i="1" s="1"/>
  <c r="P82" i="1"/>
  <c r="L78" i="1"/>
  <c r="M78" i="1" s="1"/>
  <c r="P78" i="1"/>
  <c r="L74" i="1"/>
  <c r="P74" i="1"/>
  <c r="L70" i="1"/>
  <c r="O70" i="1" s="1" a="1"/>
  <c r="O70" i="1" s="1"/>
  <c r="P70" i="1"/>
  <c r="L66" i="1"/>
  <c r="M66" i="1" s="1"/>
  <c r="P66" i="1"/>
  <c r="L62" i="1"/>
  <c r="M62" i="1" s="1"/>
  <c r="P62" i="1"/>
  <c r="L58" i="1"/>
  <c r="Q58" i="1" s="1"/>
  <c r="P58" i="1"/>
  <c r="L54" i="1"/>
  <c r="O54" i="1" s="1" a="1"/>
  <c r="O54" i="1" s="1"/>
  <c r="P54" i="1"/>
  <c r="L50" i="1"/>
  <c r="Q50" i="1" s="1"/>
  <c r="P50" i="1"/>
  <c r="L46" i="1"/>
  <c r="M46" i="1" s="1"/>
  <c r="P46" i="1"/>
  <c r="L42" i="1"/>
  <c r="P42" i="1"/>
  <c r="L38" i="1"/>
  <c r="O38" i="1" s="1" a="1"/>
  <c r="O38" i="1" s="1"/>
  <c r="P38" i="1"/>
  <c r="L34" i="1"/>
  <c r="O34" i="1" s="1" a="1"/>
  <c r="O34" i="1" s="1"/>
  <c r="P34" i="1"/>
  <c r="L30" i="1"/>
  <c r="M30" i="1" s="1"/>
  <c r="P30" i="1"/>
  <c r="L26" i="1"/>
  <c r="M26" i="1" s="1"/>
  <c r="P26" i="1"/>
  <c r="L22" i="1"/>
  <c r="O22" i="1" s="1" a="1"/>
  <c r="O22" i="1" s="1"/>
  <c r="P22" i="1"/>
  <c r="L18" i="1"/>
  <c r="Q18" i="1" s="1"/>
  <c r="P18" i="1"/>
  <c r="L14" i="1"/>
  <c r="P14" i="1"/>
  <c r="L10" i="1"/>
  <c r="M10" i="1" s="1"/>
  <c r="P10" i="1"/>
  <c r="L6" i="1"/>
  <c r="O6" i="1" s="1" a="1"/>
  <c r="O6" i="1" s="1"/>
  <c r="P6" i="1"/>
  <c r="L39" i="1"/>
  <c r="L103" i="1"/>
  <c r="O103" i="1" s="1" a="1"/>
  <c r="O103" i="1" s="1"/>
  <c r="L167" i="1"/>
  <c r="O167" i="1" s="1" a="1"/>
  <c r="O167" i="1" s="1"/>
  <c r="L231" i="1"/>
  <c r="M231" i="1" s="1"/>
  <c r="L295" i="1"/>
  <c r="L359" i="1"/>
  <c r="M359" i="1" s="1"/>
  <c r="L385" i="1"/>
  <c r="M385" i="1" s="1"/>
  <c r="P385" i="1"/>
  <c r="L381" i="1"/>
  <c r="M381" i="1" s="1"/>
  <c r="P381" i="1"/>
  <c r="L377" i="1"/>
  <c r="M377" i="1" s="1"/>
  <c r="P377" i="1"/>
  <c r="L373" i="1"/>
  <c r="P373" i="1"/>
  <c r="L369" i="1"/>
  <c r="M369" i="1" s="1"/>
  <c r="P369" i="1"/>
  <c r="L365" i="1"/>
  <c r="M365" i="1" s="1"/>
  <c r="P365" i="1"/>
  <c r="L361" i="1"/>
  <c r="M361" i="1" s="1"/>
  <c r="P361" i="1"/>
  <c r="L357" i="1"/>
  <c r="M357" i="1" s="1"/>
  <c r="P357" i="1"/>
  <c r="L353" i="1"/>
  <c r="M353" i="1" s="1"/>
  <c r="P353" i="1"/>
  <c r="L349" i="1"/>
  <c r="M349" i="1" s="1"/>
  <c r="P349" i="1"/>
  <c r="L345" i="1"/>
  <c r="M345" i="1" s="1"/>
  <c r="P345" i="1"/>
  <c r="L341" i="1"/>
  <c r="P341" i="1"/>
  <c r="L337" i="1"/>
  <c r="M337" i="1" s="1"/>
  <c r="P337" i="1"/>
  <c r="L333" i="1"/>
  <c r="M333" i="1" s="1"/>
  <c r="P333" i="1"/>
  <c r="L329" i="1"/>
  <c r="M329" i="1" s="1"/>
  <c r="P329" i="1"/>
  <c r="L325" i="1"/>
  <c r="M325" i="1" s="1"/>
  <c r="P325" i="1"/>
  <c r="L321" i="1"/>
  <c r="P321" i="1"/>
  <c r="L317" i="1"/>
  <c r="M317" i="1" s="1"/>
  <c r="P317" i="1"/>
  <c r="L313" i="1"/>
  <c r="M313" i="1" s="1"/>
  <c r="P313" i="1"/>
  <c r="L309" i="1"/>
  <c r="M309" i="1" s="1"/>
  <c r="P309" i="1"/>
  <c r="L305" i="1"/>
  <c r="M305" i="1" s="1"/>
  <c r="P305" i="1"/>
  <c r="L301" i="1"/>
  <c r="M301" i="1" s="1"/>
  <c r="P301" i="1"/>
  <c r="L297" i="1"/>
  <c r="M297" i="1" s="1"/>
  <c r="P297" i="1"/>
  <c r="L293" i="1"/>
  <c r="P293" i="1"/>
  <c r="L289" i="1"/>
  <c r="M289" i="1" s="1"/>
  <c r="P289" i="1"/>
  <c r="L285" i="1"/>
  <c r="M285" i="1" s="1"/>
  <c r="P285" i="1"/>
  <c r="L281" i="1"/>
  <c r="M281" i="1" s="1"/>
  <c r="P281" i="1"/>
  <c r="L277" i="1"/>
  <c r="M277" i="1" s="1"/>
  <c r="P277" i="1"/>
  <c r="L273" i="1"/>
  <c r="M273" i="1" s="1"/>
  <c r="P273" i="1"/>
  <c r="L269" i="1"/>
  <c r="O269" i="1" s="1" a="1"/>
  <c r="O269" i="1" s="1"/>
  <c r="P269" i="1"/>
  <c r="L265" i="1"/>
  <c r="M265" i="1" s="1"/>
  <c r="P265" i="1"/>
  <c r="L261" i="1"/>
  <c r="M261" i="1" s="1"/>
  <c r="P261" i="1"/>
  <c r="L257" i="1"/>
  <c r="M257" i="1" s="1"/>
  <c r="P257" i="1"/>
  <c r="L253" i="1"/>
  <c r="M253" i="1" s="1"/>
  <c r="P253" i="1"/>
  <c r="L249" i="1"/>
  <c r="M249" i="1" s="1"/>
  <c r="P249" i="1"/>
  <c r="L245" i="1"/>
  <c r="P245" i="1"/>
  <c r="L241" i="1"/>
  <c r="M241" i="1" s="1"/>
  <c r="P241" i="1"/>
  <c r="L237" i="1"/>
  <c r="M237" i="1" s="1"/>
  <c r="P237" i="1"/>
  <c r="L233" i="1"/>
  <c r="M233" i="1" s="1"/>
  <c r="P233" i="1"/>
  <c r="L229" i="1"/>
  <c r="M229" i="1" s="1"/>
  <c r="P229" i="1"/>
  <c r="L225" i="1"/>
  <c r="M225" i="1" s="1"/>
  <c r="P225" i="1"/>
  <c r="L221" i="1"/>
  <c r="M221" i="1" s="1"/>
  <c r="P221" i="1"/>
  <c r="L217" i="1"/>
  <c r="P217" i="1"/>
  <c r="L213" i="1"/>
  <c r="M213" i="1" s="1"/>
  <c r="P213" i="1"/>
  <c r="L209" i="1"/>
  <c r="M209" i="1" s="1"/>
  <c r="P209" i="1"/>
  <c r="L205" i="1"/>
  <c r="M205" i="1" s="1"/>
  <c r="P205" i="1"/>
  <c r="L201" i="1"/>
  <c r="M201" i="1" s="1"/>
  <c r="P201" i="1"/>
  <c r="L197" i="1"/>
  <c r="P197" i="1"/>
  <c r="L193" i="1"/>
  <c r="M193" i="1" s="1"/>
  <c r="P193" i="1"/>
  <c r="L189" i="1"/>
  <c r="M189" i="1" s="1"/>
  <c r="P189" i="1"/>
  <c r="L185" i="1"/>
  <c r="M185" i="1" s="1"/>
  <c r="P185" i="1"/>
  <c r="L181" i="1"/>
  <c r="M181" i="1" s="1"/>
  <c r="P181" i="1"/>
  <c r="L177" i="1"/>
  <c r="M177" i="1" s="1"/>
  <c r="P177" i="1"/>
  <c r="L173" i="1"/>
  <c r="M173" i="1" s="1"/>
  <c r="P173" i="1"/>
  <c r="L169" i="1"/>
  <c r="M169" i="1" s="1"/>
  <c r="P169" i="1"/>
  <c r="L165" i="1"/>
  <c r="M165" i="1" s="1"/>
  <c r="P165" i="1"/>
  <c r="L161" i="1"/>
  <c r="M161" i="1" s="1"/>
  <c r="P161" i="1"/>
  <c r="L157" i="1"/>
  <c r="M157" i="1" s="1"/>
  <c r="P157" i="1"/>
  <c r="L153" i="1"/>
  <c r="P153" i="1"/>
  <c r="L149" i="1"/>
  <c r="M149" i="1" s="1"/>
  <c r="P149" i="1"/>
  <c r="L145" i="1"/>
  <c r="M145" i="1" s="1"/>
  <c r="P145" i="1"/>
  <c r="L141" i="1"/>
  <c r="M141" i="1" s="1"/>
  <c r="P141" i="1"/>
  <c r="L137" i="1"/>
  <c r="M137" i="1" s="1"/>
  <c r="P137" i="1"/>
  <c r="L133" i="1"/>
  <c r="P133" i="1"/>
  <c r="L129" i="1"/>
  <c r="M129" i="1" s="1"/>
  <c r="P129" i="1"/>
  <c r="L125" i="1"/>
  <c r="M125" i="1" s="1"/>
  <c r="P125" i="1"/>
  <c r="L121" i="1"/>
  <c r="M121" i="1" s="1"/>
  <c r="P121" i="1"/>
  <c r="L117" i="1"/>
  <c r="M117" i="1" s="1"/>
  <c r="P117" i="1"/>
  <c r="L113" i="1"/>
  <c r="M113" i="1" s="1"/>
  <c r="P113" i="1"/>
  <c r="L109" i="1"/>
  <c r="M109" i="1" s="1"/>
  <c r="P109" i="1"/>
  <c r="L105" i="1"/>
  <c r="M105" i="1" s="1"/>
  <c r="P105" i="1"/>
  <c r="L101" i="1"/>
  <c r="P101" i="1"/>
  <c r="L97" i="1"/>
  <c r="M97" i="1" s="1"/>
  <c r="P97" i="1"/>
  <c r="L93" i="1"/>
  <c r="M93" i="1" s="1"/>
  <c r="P93" i="1"/>
  <c r="L89" i="1"/>
  <c r="M89" i="1" s="1"/>
  <c r="P89" i="1"/>
  <c r="L85" i="1"/>
  <c r="M85" i="1" s="1"/>
  <c r="P85" i="1"/>
  <c r="L81" i="1"/>
  <c r="M81" i="1" s="1"/>
  <c r="P81" i="1"/>
  <c r="L77" i="1"/>
  <c r="M77" i="1" s="1"/>
  <c r="P77" i="1"/>
  <c r="L73" i="1"/>
  <c r="M73" i="1" s="1"/>
  <c r="P73" i="1"/>
  <c r="L69" i="1"/>
  <c r="P69" i="1"/>
  <c r="L65" i="1"/>
  <c r="M65" i="1" s="1"/>
  <c r="P65" i="1"/>
  <c r="L61" i="1"/>
  <c r="M61" i="1" s="1"/>
  <c r="P61" i="1"/>
  <c r="L57" i="1"/>
  <c r="M57" i="1" s="1"/>
  <c r="P57" i="1"/>
  <c r="L53" i="1"/>
  <c r="M53" i="1" s="1"/>
  <c r="P53" i="1"/>
  <c r="L49" i="1"/>
  <c r="M49" i="1" s="1"/>
  <c r="P49" i="1"/>
  <c r="L45" i="1"/>
  <c r="M45" i="1" s="1"/>
  <c r="P45" i="1"/>
  <c r="L41" i="1"/>
  <c r="M41" i="1" s="1"/>
  <c r="P41" i="1"/>
  <c r="L37" i="1"/>
  <c r="P37" i="1"/>
  <c r="L33" i="1"/>
  <c r="M33" i="1" s="1"/>
  <c r="P33" i="1"/>
  <c r="L29" i="1"/>
  <c r="M29" i="1" s="1"/>
  <c r="P29" i="1"/>
  <c r="P25" i="1"/>
  <c r="L25" i="1"/>
  <c r="M25" i="1" s="1"/>
  <c r="P21" i="1"/>
  <c r="L21" i="1"/>
  <c r="M21" i="1" s="1"/>
  <c r="P17" i="1"/>
  <c r="L17" i="1"/>
  <c r="M17" i="1" s="1"/>
  <c r="P13" i="1"/>
  <c r="L13" i="1"/>
  <c r="M13" i="1" s="1"/>
  <c r="P9" i="1"/>
  <c r="L9" i="1"/>
  <c r="M9" i="1" s="1"/>
  <c r="P5" i="1"/>
  <c r="L5" i="1"/>
  <c r="M5" i="1" s="1"/>
  <c r="L55" i="1"/>
  <c r="M55" i="1" s="1"/>
  <c r="L119" i="1"/>
  <c r="O119" i="1" s="1" a="1"/>
  <c r="O119" i="1" s="1"/>
  <c r="L183" i="1"/>
  <c r="Q183" i="1" s="1"/>
  <c r="L247" i="1"/>
  <c r="M247" i="1" s="1"/>
  <c r="L311" i="1"/>
  <c r="M311" i="1" s="1"/>
  <c r="L375" i="1"/>
  <c r="M375" i="1" s="1"/>
  <c r="O7" i="1" a="1"/>
  <c r="O7" i="1" s="1"/>
  <c r="M7" i="1"/>
  <c r="O71" i="1" a="1"/>
  <c r="O71" i="1" s="1"/>
  <c r="M71" i="1"/>
  <c r="O135" i="1" a="1"/>
  <c r="O135" i="1" s="1"/>
  <c r="M135" i="1"/>
  <c r="O199" i="1" a="1"/>
  <c r="O199" i="1" s="1"/>
  <c r="M199" i="1"/>
  <c r="Q455" i="1"/>
  <c r="O391" i="1" a="1"/>
  <c r="O391" i="1" s="1"/>
  <c r="Q391" i="1"/>
  <c r="O327" i="1" a="1"/>
  <c r="O327" i="1" s="1"/>
  <c r="Q327" i="1"/>
  <c r="O263" i="1" a="1"/>
  <c r="O263" i="1" s="1"/>
  <c r="Q263" i="1"/>
  <c r="O898" i="1" a="1"/>
  <c r="O898" i="1" s="1"/>
  <c r="O878" i="1" a="1"/>
  <c r="O878" i="1" s="1"/>
  <c r="Q854" i="1"/>
  <c r="Q826" i="1"/>
  <c r="O798" i="1" a="1"/>
  <c r="O798" i="1" s="1"/>
  <c r="Q790" i="1"/>
  <c r="O754" i="1" a="1"/>
  <c r="O754" i="1" s="1"/>
  <c r="Q726" i="1"/>
  <c r="Q698" i="1"/>
  <c r="O686" i="1" a="1"/>
  <c r="O686" i="1" s="1"/>
  <c r="O674" i="1" a="1"/>
  <c r="O674" i="1" s="1"/>
  <c r="O650" i="1" a="1"/>
  <c r="O650" i="1" s="1"/>
  <c r="O626" i="1" a="1"/>
  <c r="O626" i="1" s="1"/>
  <c r="O606" i="1" a="1"/>
  <c r="O606" i="1" s="1"/>
  <c r="Q586" i="1"/>
  <c r="O570" i="1" a="1"/>
  <c r="O570" i="1" s="1"/>
  <c r="O542" i="1" a="1"/>
  <c r="O542" i="1" s="1"/>
  <c r="O522" i="1" a="1"/>
  <c r="O522" i="1" s="1"/>
  <c r="O506" i="1" a="1"/>
  <c r="O506" i="1" s="1"/>
  <c r="O490" i="1" a="1"/>
  <c r="O490" i="1" s="1"/>
  <c r="O474" i="1" a="1"/>
  <c r="O474" i="1" s="1"/>
  <c r="O450" i="1" a="1"/>
  <c r="O450" i="1" s="1"/>
  <c r="O901" i="1" a="1"/>
  <c r="O901" i="1" s="1"/>
  <c r="Q901" i="1"/>
  <c r="O897" i="1" a="1"/>
  <c r="O897" i="1" s="1"/>
  <c r="Q897" i="1"/>
  <c r="O893" i="1" a="1"/>
  <c r="O893" i="1" s="1"/>
  <c r="Q893" i="1"/>
  <c r="O889" i="1" a="1"/>
  <c r="O889" i="1" s="1"/>
  <c r="Q889" i="1"/>
  <c r="O885" i="1" a="1"/>
  <c r="O885" i="1" s="1"/>
  <c r="Q885" i="1"/>
  <c r="O881" i="1" a="1"/>
  <c r="O881" i="1" s="1"/>
  <c r="Q881" i="1"/>
  <c r="O877" i="1" a="1"/>
  <c r="O877" i="1" s="1"/>
  <c r="Q877" i="1"/>
  <c r="O873" i="1" a="1"/>
  <c r="O873" i="1" s="1"/>
  <c r="Q873" i="1"/>
  <c r="O869" i="1" a="1"/>
  <c r="O869" i="1" s="1"/>
  <c r="Q869" i="1"/>
  <c r="O865" i="1" a="1"/>
  <c r="O865" i="1" s="1"/>
  <c r="Q865" i="1"/>
  <c r="O861" i="1" a="1"/>
  <c r="O861" i="1" s="1"/>
  <c r="Q861" i="1"/>
  <c r="O857" i="1" a="1"/>
  <c r="O857" i="1" s="1"/>
  <c r="Q857" i="1"/>
  <c r="O853" i="1" a="1"/>
  <c r="O853" i="1" s="1"/>
  <c r="Q853" i="1"/>
  <c r="O849" i="1" a="1"/>
  <c r="O849" i="1" s="1"/>
  <c r="Q849" i="1"/>
  <c r="O845" i="1" a="1"/>
  <c r="O845" i="1" s="1"/>
  <c r="Q845" i="1"/>
  <c r="O841" i="1" a="1"/>
  <c r="O841" i="1" s="1"/>
  <c r="Q841" i="1"/>
  <c r="O837" i="1" a="1"/>
  <c r="O837" i="1" s="1"/>
  <c r="Q837" i="1"/>
  <c r="O833" i="1" a="1"/>
  <c r="O833" i="1" s="1"/>
  <c r="Q833" i="1"/>
  <c r="O829" i="1" a="1"/>
  <c r="O829" i="1" s="1"/>
  <c r="Q829" i="1"/>
  <c r="O825" i="1" a="1"/>
  <c r="O825" i="1" s="1"/>
  <c r="Q825" i="1"/>
  <c r="O821" i="1" a="1"/>
  <c r="O821" i="1" s="1"/>
  <c r="Q821" i="1"/>
  <c r="O817" i="1" a="1"/>
  <c r="O817" i="1" s="1"/>
  <c r="Q817" i="1"/>
  <c r="O813" i="1" a="1"/>
  <c r="O813" i="1" s="1"/>
  <c r="Q813" i="1"/>
  <c r="O809" i="1" a="1"/>
  <c r="O809" i="1" s="1"/>
  <c r="Q809" i="1"/>
  <c r="O805" i="1" a="1"/>
  <c r="O805" i="1" s="1"/>
  <c r="Q805" i="1"/>
  <c r="O801" i="1" a="1"/>
  <c r="O801" i="1" s="1"/>
  <c r="Q801" i="1"/>
  <c r="O797" i="1" a="1"/>
  <c r="O797" i="1" s="1"/>
  <c r="Q797" i="1"/>
  <c r="O793" i="1" a="1"/>
  <c r="O793" i="1" s="1"/>
  <c r="Q793" i="1"/>
  <c r="O789" i="1" a="1"/>
  <c r="O789" i="1" s="1"/>
  <c r="Q789" i="1"/>
  <c r="O785" i="1" a="1"/>
  <c r="O785" i="1" s="1"/>
  <c r="Q785" i="1"/>
  <c r="O781" i="1" a="1"/>
  <c r="O781" i="1" s="1"/>
  <c r="Q781" i="1"/>
  <c r="O777" i="1" a="1"/>
  <c r="O777" i="1" s="1"/>
  <c r="Q777" i="1"/>
  <c r="O773" i="1" a="1"/>
  <c r="O773" i="1" s="1"/>
  <c r="Q773" i="1"/>
  <c r="O769" i="1" a="1"/>
  <c r="O769" i="1" s="1"/>
  <c r="Q769" i="1"/>
  <c r="O765" i="1" a="1"/>
  <c r="O765" i="1" s="1"/>
  <c r="Q765" i="1"/>
  <c r="O761" i="1" a="1"/>
  <c r="O761" i="1" s="1"/>
  <c r="Q761" i="1"/>
  <c r="O757" i="1" a="1"/>
  <c r="O757" i="1" s="1"/>
  <c r="Q757" i="1"/>
  <c r="O753" i="1" a="1"/>
  <c r="O753" i="1" s="1"/>
  <c r="Q753" i="1"/>
  <c r="O749" i="1" a="1"/>
  <c r="O749" i="1" s="1"/>
  <c r="Q749" i="1"/>
  <c r="O745" i="1" a="1"/>
  <c r="O745" i="1" s="1"/>
  <c r="Q745" i="1"/>
  <c r="O741" i="1" a="1"/>
  <c r="O741" i="1" s="1"/>
  <c r="Q741" i="1"/>
  <c r="O737" i="1" a="1"/>
  <c r="O737" i="1" s="1"/>
  <c r="Q737" i="1"/>
  <c r="O733" i="1" a="1"/>
  <c r="O733" i="1" s="1"/>
  <c r="Q733" i="1"/>
  <c r="O729" i="1" a="1"/>
  <c r="O729" i="1" s="1"/>
  <c r="Q729" i="1"/>
  <c r="O725" i="1" a="1"/>
  <c r="O725" i="1" s="1"/>
  <c r="Q725" i="1"/>
  <c r="O721" i="1" a="1"/>
  <c r="O721" i="1" s="1"/>
  <c r="Q721" i="1"/>
  <c r="O717" i="1" a="1"/>
  <c r="O717" i="1" s="1"/>
  <c r="Q717" i="1"/>
  <c r="O713" i="1" a="1"/>
  <c r="O713" i="1" s="1"/>
  <c r="Q713" i="1"/>
  <c r="O709" i="1" a="1"/>
  <c r="O709" i="1" s="1"/>
  <c r="Q709" i="1"/>
  <c r="O705" i="1" a="1"/>
  <c r="O705" i="1" s="1"/>
  <c r="Q705" i="1"/>
  <c r="O701" i="1" a="1"/>
  <c r="O701" i="1" s="1"/>
  <c r="Q701" i="1"/>
  <c r="O697" i="1" a="1"/>
  <c r="O697" i="1" s="1"/>
  <c r="Q697" i="1"/>
  <c r="O693" i="1" a="1"/>
  <c r="O693" i="1" s="1"/>
  <c r="Q693" i="1"/>
  <c r="O689" i="1" a="1"/>
  <c r="O689" i="1" s="1"/>
  <c r="Q689" i="1"/>
  <c r="O685" i="1" a="1"/>
  <c r="O685" i="1" s="1"/>
  <c r="Q685" i="1"/>
  <c r="O681" i="1" a="1"/>
  <c r="O681" i="1" s="1"/>
  <c r="Q681" i="1"/>
  <c r="O677" i="1" a="1"/>
  <c r="O677" i="1" s="1"/>
  <c r="Q677" i="1"/>
  <c r="O673" i="1" a="1"/>
  <c r="O673" i="1" s="1"/>
  <c r="Q673" i="1"/>
  <c r="O669" i="1" a="1"/>
  <c r="O669" i="1" s="1"/>
  <c r="Q669" i="1"/>
  <c r="O665" i="1" a="1"/>
  <c r="O665" i="1" s="1"/>
  <c r="Q665" i="1"/>
  <c r="O661" i="1" a="1"/>
  <c r="O661" i="1" s="1"/>
  <c r="Q661" i="1"/>
  <c r="O657" i="1" a="1"/>
  <c r="O657" i="1" s="1"/>
  <c r="Q657" i="1"/>
  <c r="O653" i="1" a="1"/>
  <c r="O653" i="1" s="1"/>
  <c r="Q653" i="1"/>
  <c r="O649" i="1" a="1"/>
  <c r="O649" i="1" s="1"/>
  <c r="Q649" i="1"/>
  <c r="O645" i="1" a="1"/>
  <c r="O645" i="1" s="1"/>
  <c r="Q645" i="1"/>
  <c r="O641" i="1" a="1"/>
  <c r="O641" i="1" s="1"/>
  <c r="Q641" i="1"/>
  <c r="O637" i="1" a="1"/>
  <c r="O637" i="1" s="1"/>
  <c r="Q637" i="1"/>
  <c r="O633" i="1" a="1"/>
  <c r="O633" i="1" s="1"/>
  <c r="Q633" i="1"/>
  <c r="O629" i="1" a="1"/>
  <c r="O629" i="1" s="1"/>
  <c r="Q629" i="1"/>
  <c r="O625" i="1" a="1"/>
  <c r="O625" i="1" s="1"/>
  <c r="Q625" i="1"/>
  <c r="O621" i="1" a="1"/>
  <c r="O621" i="1" s="1"/>
  <c r="Q621" i="1"/>
  <c r="O617" i="1" a="1"/>
  <c r="O617" i="1" s="1"/>
  <c r="Q617" i="1"/>
  <c r="O613" i="1" a="1"/>
  <c r="O613" i="1" s="1"/>
  <c r="Q613" i="1"/>
  <c r="O609" i="1" a="1"/>
  <c r="O609" i="1" s="1"/>
  <c r="Q609" i="1"/>
  <c r="O605" i="1" a="1"/>
  <c r="O605" i="1" s="1"/>
  <c r="Q605" i="1"/>
  <c r="O601" i="1" a="1"/>
  <c r="O601" i="1" s="1"/>
  <c r="Q601" i="1"/>
  <c r="O597" i="1" a="1"/>
  <c r="O597" i="1" s="1"/>
  <c r="Q597" i="1"/>
  <c r="O593" i="1" a="1"/>
  <c r="O593" i="1" s="1"/>
  <c r="Q593" i="1"/>
  <c r="O589" i="1" a="1"/>
  <c r="O589" i="1" s="1"/>
  <c r="Q589" i="1"/>
  <c r="O585" i="1" a="1"/>
  <c r="O585" i="1" s="1"/>
  <c r="Q585" i="1"/>
  <c r="O581" i="1" a="1"/>
  <c r="O581" i="1" s="1"/>
  <c r="Q581" i="1"/>
  <c r="O577" i="1" a="1"/>
  <c r="O577" i="1" s="1"/>
  <c r="Q577" i="1"/>
  <c r="O573" i="1" a="1"/>
  <c r="O573" i="1" s="1"/>
  <c r="Q573" i="1"/>
  <c r="O569" i="1" a="1"/>
  <c r="O569" i="1" s="1"/>
  <c r="Q569" i="1"/>
  <c r="O565" i="1" a="1"/>
  <c r="O565" i="1" s="1"/>
  <c r="Q565" i="1"/>
  <c r="O561" i="1" a="1"/>
  <c r="O561" i="1" s="1"/>
  <c r="Q561" i="1"/>
  <c r="O557" i="1" a="1"/>
  <c r="O557" i="1" s="1"/>
  <c r="Q557" i="1"/>
  <c r="O553" i="1" a="1"/>
  <c r="O553" i="1" s="1"/>
  <c r="Q553" i="1"/>
  <c r="O549" i="1" a="1"/>
  <c r="O549" i="1" s="1"/>
  <c r="Q549" i="1"/>
  <c r="O545" i="1" a="1"/>
  <c r="O545" i="1" s="1"/>
  <c r="O529" i="1" a="1"/>
  <c r="O529" i="1" s="1"/>
  <c r="O513" i="1" a="1"/>
  <c r="O513" i="1" s="1"/>
  <c r="O497" i="1" a="1"/>
  <c r="O497" i="1" s="1"/>
  <c r="O481" i="1" a="1"/>
  <c r="O481" i="1" s="1"/>
  <c r="O465" i="1" a="1"/>
  <c r="O465" i="1" s="1"/>
  <c r="O449" i="1" a="1"/>
  <c r="O449" i="1" s="1"/>
  <c r="O433" i="1" a="1"/>
  <c r="O433" i="1" s="1"/>
  <c r="O417" i="1" a="1"/>
  <c r="O417" i="1" s="1"/>
  <c r="O401" i="1" a="1"/>
  <c r="O401" i="1" s="1"/>
  <c r="Q892" i="1"/>
  <c r="O836" i="1" a="1"/>
  <c r="O836" i="1" s="1"/>
  <c r="Q820" i="1"/>
  <c r="Q816" i="1"/>
  <c r="O800" i="1" a="1"/>
  <c r="O800" i="1" s="1"/>
  <c r="Q784" i="1"/>
  <c r="O732" i="1" a="1"/>
  <c r="O732" i="1" s="1"/>
  <c r="Q712" i="1"/>
  <c r="Q696" i="1"/>
  <c r="O620" i="1" a="1"/>
  <c r="O620" i="1" s="1"/>
  <c r="Q600" i="1"/>
  <c r="Q580" i="1"/>
  <c r="Q576" i="1"/>
  <c r="O560" i="1" a="1"/>
  <c r="O560" i="1" s="1"/>
  <c r="O544" i="1" a="1"/>
  <c r="O544" i="1" s="1"/>
  <c r="Q544" i="1"/>
  <c r="Q540" i="1"/>
  <c r="O536" i="1" a="1"/>
  <c r="O536" i="1" s="1"/>
  <c r="Q536" i="1"/>
  <c r="O528" i="1" a="1"/>
  <c r="O528" i="1" s="1"/>
  <c r="Q528" i="1"/>
  <c r="O520" i="1" a="1"/>
  <c r="O520" i="1" s="1"/>
  <c r="Q520" i="1"/>
  <c r="O512" i="1" a="1"/>
  <c r="O512" i="1" s="1"/>
  <c r="Q512" i="1"/>
  <c r="O504" i="1" a="1"/>
  <c r="O504" i="1" s="1"/>
  <c r="Q504" i="1"/>
  <c r="O496" i="1" a="1"/>
  <c r="O496" i="1" s="1"/>
  <c r="Q496" i="1"/>
  <c r="O488" i="1" a="1"/>
  <c r="O488" i="1" s="1"/>
  <c r="Q488" i="1"/>
  <c r="O472" i="1" a="1"/>
  <c r="O472" i="1" s="1"/>
  <c r="Q472" i="1"/>
  <c r="Q460" i="1"/>
  <c r="O456" i="1" a="1"/>
  <c r="O456" i="1" s="1"/>
  <c r="Q456" i="1"/>
  <c r="O440" i="1" a="1"/>
  <c r="O440" i="1" s="1"/>
  <c r="Q440" i="1"/>
  <c r="Q199" i="1"/>
  <c r="Q135" i="1"/>
  <c r="Q87" i="1"/>
  <c r="Q71" i="1"/>
  <c r="O424" i="1" a="1"/>
  <c r="O424" i="1" s="1"/>
  <c r="Q424" i="1"/>
  <c r="O408" i="1" a="1"/>
  <c r="O408" i="1" s="1"/>
  <c r="Q408" i="1"/>
  <c r="O404" i="1" a="1"/>
  <c r="O404" i="1" s="1"/>
  <c r="O392" i="1" a="1"/>
  <c r="O392" i="1" s="1"/>
  <c r="Q392" i="1"/>
  <c r="O376" i="1" a="1"/>
  <c r="O376" i="1" s="1"/>
  <c r="Q376" i="1"/>
  <c r="O360" i="1" a="1"/>
  <c r="O360" i="1" s="1"/>
  <c r="Q360" i="1"/>
  <c r="O344" i="1" a="1"/>
  <c r="O344" i="1" s="1"/>
  <c r="Q344" i="1"/>
  <c r="O340" i="1" a="1"/>
  <c r="O340" i="1" s="1"/>
  <c r="O328" i="1" a="1"/>
  <c r="O328" i="1" s="1"/>
  <c r="Q328" i="1"/>
  <c r="O312" i="1" a="1"/>
  <c r="O312" i="1" s="1"/>
  <c r="Q312" i="1"/>
  <c r="O296" i="1" a="1"/>
  <c r="O296" i="1" s="1"/>
  <c r="Q296" i="1"/>
  <c r="O280" i="1" a="1"/>
  <c r="O280" i="1" s="1"/>
  <c r="Q280" i="1"/>
  <c r="O268" i="1" a="1"/>
  <c r="O268" i="1" s="1"/>
  <c r="O264" i="1" a="1"/>
  <c r="O264" i="1" s="1"/>
  <c r="Q264" i="1"/>
  <c r="O256" i="1" a="1"/>
  <c r="O256" i="1" s="1"/>
  <c r="O248" i="1" a="1"/>
  <c r="O248" i="1" s="1"/>
  <c r="Q248" i="1"/>
  <c r="O244" i="1" a="1"/>
  <c r="O244" i="1" s="1"/>
  <c r="O232" i="1" a="1"/>
  <c r="O232" i="1" s="1"/>
  <c r="Q232" i="1"/>
  <c r="O216" i="1" a="1"/>
  <c r="O216" i="1" s="1"/>
  <c r="Q216" i="1"/>
  <c r="O200" i="1" a="1"/>
  <c r="O200" i="1" s="1"/>
  <c r="Q200" i="1"/>
  <c r="O188" i="1" a="1"/>
  <c r="O188" i="1" s="1"/>
  <c r="O184" i="1" a="1"/>
  <c r="O184" i="1" s="1"/>
  <c r="Q184" i="1"/>
  <c r="O176" i="1" a="1"/>
  <c r="O176" i="1" s="1"/>
  <c r="O168" i="1" a="1"/>
  <c r="O168" i="1" s="1"/>
  <c r="Q168" i="1"/>
  <c r="O164" i="1" a="1"/>
  <c r="O164" i="1" s="1"/>
  <c r="O152" i="1" a="1"/>
  <c r="O152" i="1" s="1"/>
  <c r="Q152" i="1"/>
  <c r="O136" i="1" a="1"/>
  <c r="O136" i="1" s="1"/>
  <c r="Q136" i="1"/>
  <c r="O124" i="1" a="1"/>
  <c r="O124" i="1" s="1"/>
  <c r="O120" i="1" a="1"/>
  <c r="O120" i="1" s="1"/>
  <c r="Q120" i="1"/>
  <c r="O112" i="1" a="1"/>
  <c r="O112" i="1" s="1"/>
  <c r="O104" i="1" a="1"/>
  <c r="O104" i="1" s="1"/>
  <c r="Q104" i="1"/>
  <c r="O100" i="1" a="1"/>
  <c r="O100" i="1" s="1"/>
  <c r="O88" i="1" a="1"/>
  <c r="O88" i="1" s="1"/>
  <c r="Q88" i="1"/>
  <c r="O72" i="1" a="1"/>
  <c r="O72" i="1" s="1"/>
  <c r="Q72" i="1"/>
  <c r="O60" i="1" a="1"/>
  <c r="O60" i="1" s="1"/>
  <c r="O56" i="1" a="1"/>
  <c r="O56" i="1" s="1"/>
  <c r="Q56" i="1"/>
  <c r="O48" i="1" a="1"/>
  <c r="O48" i="1" s="1"/>
  <c r="O40" i="1" a="1"/>
  <c r="O40" i="1" s="1"/>
  <c r="Q40" i="1"/>
  <c r="O36" i="1" a="1"/>
  <c r="O36" i="1" s="1"/>
  <c r="O20" i="1" a="1"/>
  <c r="O20" i="1" s="1"/>
  <c r="Q7" i="1"/>
  <c r="Q2" i="1"/>
  <c r="Q872" i="1" l="1"/>
  <c r="O19" i="1" a="1"/>
  <c r="O19" i="1" s="1"/>
  <c r="O25" i="1" a="1"/>
  <c r="O25" i="1" s="1"/>
  <c r="O550" i="1" a="1"/>
  <c r="O550" i="1" s="1"/>
  <c r="O862" i="1" a="1"/>
  <c r="O862" i="1" s="1"/>
  <c r="O231" i="1" a="1"/>
  <c r="O231" i="1" s="1"/>
  <c r="Q487" i="1"/>
  <c r="Q9" i="1"/>
  <c r="O466" i="1" a="1"/>
  <c r="O466" i="1" s="1"/>
  <c r="O842" i="1" a="1"/>
  <c r="O842" i="1" s="1"/>
  <c r="Q886" i="1"/>
  <c r="O834" i="1" a="1"/>
  <c r="O834" i="1" s="1"/>
  <c r="Q688" i="1"/>
  <c r="Q728" i="1"/>
  <c r="Q860" i="1"/>
  <c r="O622" i="1" a="1"/>
  <c r="O622" i="1" s="1"/>
  <c r="O730" i="1" a="1"/>
  <c r="O730" i="1" s="1"/>
  <c r="O858" i="1" a="1"/>
  <c r="O858" i="1" s="1"/>
  <c r="O320" i="1" a="1"/>
  <c r="O320" i="1" s="1"/>
  <c r="O364" i="1" a="1"/>
  <c r="O364" i="1" s="1"/>
  <c r="Q508" i="1"/>
  <c r="O604" i="1" a="1"/>
  <c r="O604" i="1" s="1"/>
  <c r="Q700" i="1"/>
  <c r="Q768" i="1"/>
  <c r="Q876" i="1"/>
  <c r="O706" i="1" a="1"/>
  <c r="O706" i="1" s="1"/>
  <c r="Q660" i="1"/>
  <c r="O794" i="1" a="1"/>
  <c r="O794" i="1" s="1"/>
  <c r="S2" i="1"/>
  <c r="D2" i="6" s="1"/>
  <c r="Q20" i="1"/>
  <c r="Q100" i="1"/>
  <c r="Q112" i="1"/>
  <c r="Q124" i="1"/>
  <c r="O348" i="1" a="1"/>
  <c r="O348" i="1" s="1"/>
  <c r="O516" i="1" a="1"/>
  <c r="O516" i="1" s="1"/>
  <c r="O600" i="1" a="1"/>
  <c r="O600" i="1" s="1"/>
  <c r="O636" i="1" a="1"/>
  <c r="O636" i="1" s="1"/>
  <c r="Q732" i="1"/>
  <c r="O772" i="1" a="1"/>
  <c r="O772" i="1" s="1"/>
  <c r="Q25" i="1"/>
  <c r="Q582" i="1"/>
  <c r="Q618" i="1"/>
  <c r="Q714" i="1"/>
  <c r="O766" i="1" a="1"/>
  <c r="O766" i="1" s="1"/>
  <c r="O9" i="1" a="1"/>
  <c r="O9" i="1" s="1"/>
  <c r="Q36" i="1"/>
  <c r="Q48" i="1"/>
  <c r="Q60" i="1"/>
  <c r="Q164" i="1"/>
  <c r="Q176" i="1"/>
  <c r="Q188" i="1"/>
  <c r="Q244" i="1"/>
  <c r="Q256" i="1"/>
  <c r="Q268" i="1"/>
  <c r="O380" i="1" a="1"/>
  <c r="O380" i="1" s="1"/>
  <c r="Q19" i="1"/>
  <c r="Q560" i="1"/>
  <c r="O580" i="1" a="1"/>
  <c r="O580" i="1" s="1"/>
  <c r="O616" i="1" a="1"/>
  <c r="O616" i="1" s="1"/>
  <c r="O712" i="1" a="1"/>
  <c r="O712" i="1" s="1"/>
  <c r="O752" i="1" a="1"/>
  <c r="O752" i="1" s="1"/>
  <c r="Q800" i="1"/>
  <c r="O820" i="1" a="1"/>
  <c r="O820" i="1" s="1"/>
  <c r="Q566" i="1"/>
  <c r="Q598" i="1"/>
  <c r="O790" i="1" a="1"/>
  <c r="O790" i="1" s="1"/>
  <c r="Q862" i="1"/>
  <c r="Q308" i="1"/>
  <c r="O396" i="1" a="1"/>
  <c r="O396" i="1" s="1"/>
  <c r="O416" i="1" a="1"/>
  <c r="O416" i="1" s="1"/>
  <c r="Q468" i="1"/>
  <c r="Q564" i="1"/>
  <c r="Q592" i="1"/>
  <c r="O648" i="1" a="1"/>
  <c r="O648" i="1" s="1"/>
  <c r="Q716" i="1"/>
  <c r="Q744" i="1"/>
  <c r="Q804" i="1"/>
  <c r="Q832" i="1"/>
  <c r="O409" i="1" a="1"/>
  <c r="O409" i="1" s="1"/>
  <c r="O441" i="1" a="1"/>
  <c r="O441" i="1" s="1"/>
  <c r="O473" i="1" a="1"/>
  <c r="O473" i="1" s="1"/>
  <c r="O505" i="1" a="1"/>
  <c r="O505" i="1" s="1"/>
  <c r="O537" i="1" a="1"/>
  <c r="O537" i="1" s="1"/>
  <c r="O442" i="1" a="1"/>
  <c r="O442" i="1" s="1"/>
  <c r="O470" i="1" a="1"/>
  <c r="O470" i="1" s="1"/>
  <c r="O498" i="1" a="1"/>
  <c r="O498" i="1" s="1"/>
  <c r="O530" i="1" a="1"/>
  <c r="O530" i="1" s="1"/>
  <c r="Q570" i="1"/>
  <c r="O586" i="1" a="1"/>
  <c r="O586" i="1" s="1"/>
  <c r="Q650" i="1"/>
  <c r="Q754" i="1"/>
  <c r="O810" i="1" a="1"/>
  <c r="O810" i="1" s="1"/>
  <c r="O882" i="1" a="1"/>
  <c r="O882" i="1" s="1"/>
  <c r="Q203" i="1"/>
  <c r="O332" i="1" a="1"/>
  <c r="O332" i="1" s="1"/>
  <c r="O372" i="1" a="1"/>
  <c r="O372" i="1" s="1"/>
  <c r="Q432" i="1"/>
  <c r="O632" i="1" a="1"/>
  <c r="O632" i="1" s="1"/>
  <c r="Q672" i="1"/>
  <c r="Q756" i="1"/>
  <c r="Q848" i="1"/>
  <c r="Q888" i="1"/>
  <c r="O393" i="1" a="1"/>
  <c r="O393" i="1" s="1"/>
  <c r="O425" i="1" a="1"/>
  <c r="O425" i="1" s="1"/>
  <c r="O457" i="1" a="1"/>
  <c r="O457" i="1" s="1"/>
  <c r="O489" i="1" a="1"/>
  <c r="O489" i="1" s="1"/>
  <c r="O521" i="1" a="1"/>
  <c r="O521" i="1" s="1"/>
  <c r="O458" i="1" a="1"/>
  <c r="O458" i="1" s="1"/>
  <c r="O482" i="1" a="1"/>
  <c r="O482" i="1" s="1"/>
  <c r="O514" i="1" a="1"/>
  <c r="O514" i="1" s="1"/>
  <c r="Q606" i="1"/>
  <c r="Q626" i="1"/>
  <c r="Q674" i="1"/>
  <c r="O698" i="1" a="1"/>
  <c r="O698" i="1" s="1"/>
  <c r="O726" i="1" a="1"/>
  <c r="O726" i="1" s="1"/>
  <c r="Q798" i="1"/>
  <c r="O826" i="1" a="1"/>
  <c r="O826" i="1" s="1"/>
  <c r="O854" i="1" a="1"/>
  <c r="O854" i="1" s="1"/>
  <c r="Q878" i="1"/>
  <c r="Q898" i="1"/>
  <c r="O666" i="1" a="1"/>
  <c r="O666" i="1" s="1"/>
  <c r="O690" i="1" a="1"/>
  <c r="O690" i="1" s="1"/>
  <c r="O746" i="1" a="1"/>
  <c r="O746" i="1" s="1"/>
  <c r="O770" i="1" a="1"/>
  <c r="O770" i="1" s="1"/>
  <c r="Q147" i="1"/>
  <c r="O487" i="1" a="1"/>
  <c r="O487" i="1" s="1"/>
  <c r="Q134" i="1"/>
  <c r="Q83" i="1"/>
  <c r="O2" i="1" a="1"/>
  <c r="O2" i="1" s="1"/>
  <c r="Q28" i="1"/>
  <c r="Q80" i="1"/>
  <c r="Q132" i="1"/>
  <c r="Q144" i="1"/>
  <c r="Q196" i="1"/>
  <c r="Q236" i="1"/>
  <c r="Q428" i="1"/>
  <c r="Q11" i="1"/>
  <c r="Q31" i="1"/>
  <c r="Q444" i="1"/>
  <c r="Q476" i="1"/>
  <c r="Q492" i="1"/>
  <c r="O696" i="1" a="1"/>
  <c r="O696" i="1" s="1"/>
  <c r="Q856" i="1"/>
  <c r="O872" i="1" a="1"/>
  <c r="O872" i="1" s="1"/>
  <c r="O892" i="1" a="1"/>
  <c r="O892" i="1" s="1"/>
  <c r="O566" i="1" a="1"/>
  <c r="O566" i="1" s="1"/>
  <c r="O598" i="1" a="1"/>
  <c r="O598" i="1" s="1"/>
  <c r="O618" i="1" a="1"/>
  <c r="O618" i="1" s="1"/>
  <c r="Q642" i="1"/>
  <c r="Q662" i="1"/>
  <c r="Q814" i="1"/>
  <c r="O886" i="1" a="1"/>
  <c r="O886" i="1" s="1"/>
  <c r="O12" i="1" a="1"/>
  <c r="O12" i="1" s="1"/>
  <c r="O28" i="1" a="1"/>
  <c r="O28" i="1" s="1"/>
  <c r="O68" i="1" a="1"/>
  <c r="O68" i="1" s="1"/>
  <c r="O80" i="1" a="1"/>
  <c r="O80" i="1" s="1"/>
  <c r="O92" i="1" a="1"/>
  <c r="O92" i="1" s="1"/>
  <c r="O132" i="1" a="1"/>
  <c r="O132" i="1" s="1"/>
  <c r="O144" i="1" a="1"/>
  <c r="O144" i="1" s="1"/>
  <c r="O156" i="1" a="1"/>
  <c r="O156" i="1" s="1"/>
  <c r="O196" i="1" a="1"/>
  <c r="O196" i="1" s="1"/>
  <c r="O208" i="1" a="1"/>
  <c r="O208" i="1" s="1"/>
  <c r="O224" i="1" a="1"/>
  <c r="O224" i="1" s="1"/>
  <c r="O236" i="1" a="1"/>
  <c r="O236" i="1" s="1"/>
  <c r="O276" i="1" a="1"/>
  <c r="O276" i="1" s="1"/>
  <c r="O288" i="1" a="1"/>
  <c r="O288" i="1" s="1"/>
  <c r="O300" i="1" a="1"/>
  <c r="O300" i="1" s="1"/>
  <c r="O316" i="1" a="1"/>
  <c r="O316" i="1" s="1"/>
  <c r="Q348" i="1"/>
  <c r="Q380" i="1"/>
  <c r="O428" i="1" a="1"/>
  <c r="O428" i="1" s="1"/>
  <c r="O11" i="1" a="1"/>
  <c r="O11" i="1" s="1"/>
  <c r="O31" i="1" a="1"/>
  <c r="O31" i="1" s="1"/>
  <c r="O444" i="1" a="1"/>
  <c r="O444" i="1" s="1"/>
  <c r="O476" i="1" a="1"/>
  <c r="O476" i="1" s="1"/>
  <c r="O492" i="1" a="1"/>
  <c r="O492" i="1" s="1"/>
  <c r="Q516" i="1"/>
  <c r="O548" i="1" a="1"/>
  <c r="O548" i="1" s="1"/>
  <c r="Q616" i="1"/>
  <c r="Q636" i="1"/>
  <c r="O656" i="1" a="1"/>
  <c r="O656" i="1" s="1"/>
  <c r="O676" i="1" a="1"/>
  <c r="O676" i="1" s="1"/>
  <c r="Q752" i="1"/>
  <c r="Q772" i="1"/>
  <c r="O788" i="1" a="1"/>
  <c r="O788" i="1" s="1"/>
  <c r="Q836" i="1"/>
  <c r="O856" i="1" a="1"/>
  <c r="O856" i="1" s="1"/>
  <c r="Q17" i="1"/>
  <c r="Q466" i="1"/>
  <c r="Q550" i="1"/>
  <c r="O642" i="1" a="1"/>
  <c r="O642" i="1" s="1"/>
  <c r="O662" i="1" a="1"/>
  <c r="O662" i="1" s="1"/>
  <c r="Q686" i="1"/>
  <c r="O734" i="1" a="1"/>
  <c r="O734" i="1" s="1"/>
  <c r="Q766" i="1"/>
  <c r="O774" i="1" a="1"/>
  <c r="O774" i="1" s="1"/>
  <c r="O814" i="1" a="1"/>
  <c r="O814" i="1" s="1"/>
  <c r="Q842" i="1"/>
  <c r="Q375" i="1"/>
  <c r="Q471" i="1"/>
  <c r="M119" i="1"/>
  <c r="Q12" i="1"/>
  <c r="Q68" i="1"/>
  <c r="Q92" i="1"/>
  <c r="Q156" i="1"/>
  <c r="Q208" i="1"/>
  <c r="Q224" i="1"/>
  <c r="Q276" i="1"/>
  <c r="Q288" i="1"/>
  <c r="Q300" i="1"/>
  <c r="Q119" i="1"/>
  <c r="Q548" i="1"/>
  <c r="Q656" i="1"/>
  <c r="Q676" i="1"/>
  <c r="Q788" i="1"/>
  <c r="O582" i="1" a="1"/>
  <c r="O582" i="1" s="1"/>
  <c r="O714" i="1" a="1"/>
  <c r="O714" i="1" s="1"/>
  <c r="Q734" i="1"/>
  <c r="Q774" i="1"/>
  <c r="Q343" i="1"/>
  <c r="Q503" i="1"/>
  <c r="Q652" i="1"/>
  <c r="Q198" i="1"/>
  <c r="O308" i="1" a="1"/>
  <c r="O308" i="1" s="1"/>
  <c r="Q320" i="1"/>
  <c r="Q332" i="1"/>
  <c r="Q372" i="1"/>
  <c r="Q396" i="1"/>
  <c r="Q159" i="1"/>
  <c r="Q43" i="1"/>
  <c r="O107" i="1" a="1"/>
  <c r="O107" i="1" s="1"/>
  <c r="Q171" i="1"/>
  <c r="O203" i="1" a="1"/>
  <c r="O203" i="1" s="1"/>
  <c r="O468" i="1" a="1"/>
  <c r="O468" i="1" s="1"/>
  <c r="O576" i="1" a="1"/>
  <c r="O576" i="1" s="1"/>
  <c r="O592" i="1" a="1"/>
  <c r="O592" i="1" s="1"/>
  <c r="Q604" i="1"/>
  <c r="Q620" i="1"/>
  <c r="O660" i="1" a="1"/>
  <c r="O660" i="1" s="1"/>
  <c r="O728" i="1" a="1"/>
  <c r="O728" i="1" s="1"/>
  <c r="O744" i="1" a="1"/>
  <c r="O744" i="1" s="1"/>
  <c r="O756" i="1" a="1"/>
  <c r="O756" i="1" s="1"/>
  <c r="O804" i="1" a="1"/>
  <c r="O804" i="1" s="1"/>
  <c r="O888" i="1" a="1"/>
  <c r="O888" i="1" s="1"/>
  <c r="Q401" i="1"/>
  <c r="Q417" i="1"/>
  <c r="Q433" i="1"/>
  <c r="Q449" i="1"/>
  <c r="Q465" i="1"/>
  <c r="Q481" i="1"/>
  <c r="Q497" i="1"/>
  <c r="Q513" i="1"/>
  <c r="Q529" i="1"/>
  <c r="Q545" i="1"/>
  <c r="Q442" i="1"/>
  <c r="Q458" i="1"/>
  <c r="Q470" i="1"/>
  <c r="Q482" i="1"/>
  <c r="Q498" i="1"/>
  <c r="Q514" i="1"/>
  <c r="Q530" i="1"/>
  <c r="Q666" i="1"/>
  <c r="Q730" i="1"/>
  <c r="Q746" i="1"/>
  <c r="Q794" i="1"/>
  <c r="Q810" i="1"/>
  <c r="Q858" i="1"/>
  <c r="Q231" i="1"/>
  <c r="O375" i="1" a="1"/>
  <c r="O375" i="1" s="1"/>
  <c r="O455" i="1" a="1"/>
  <c r="O455" i="1" s="1"/>
  <c r="O87" i="1" a="1"/>
  <c r="O87" i="1" s="1"/>
  <c r="O554" i="1" a="1"/>
  <c r="O554" i="1" s="1"/>
  <c r="Q23" i="1"/>
  <c r="Q115" i="1"/>
  <c r="O171" i="1" a="1"/>
  <c r="O171" i="1" s="1"/>
  <c r="Q819" i="1"/>
  <c r="Q158" i="1"/>
  <c r="Q75" i="1"/>
  <c r="Q340" i="1"/>
  <c r="Q364" i="1"/>
  <c r="Q404" i="1"/>
  <c r="Q416" i="1"/>
  <c r="Q95" i="1"/>
  <c r="O75" i="1" a="1"/>
  <c r="O75" i="1" s="1"/>
  <c r="Q139" i="1"/>
  <c r="Q179" i="1"/>
  <c r="O432" i="1" a="1"/>
  <c r="O432" i="1" s="1"/>
  <c r="O460" i="1" a="1"/>
  <c r="O460" i="1" s="1"/>
  <c r="O508" i="1" a="1"/>
  <c r="O508" i="1" s="1"/>
  <c r="O540" i="1" a="1"/>
  <c r="O540" i="1" s="1"/>
  <c r="O564" i="1" a="1"/>
  <c r="O564" i="1" s="1"/>
  <c r="Q632" i="1"/>
  <c r="Q648" i="1"/>
  <c r="O672" i="1" a="1"/>
  <c r="O672" i="1" s="1"/>
  <c r="O688" i="1" a="1"/>
  <c r="O688" i="1" s="1"/>
  <c r="O700" i="1" a="1"/>
  <c r="O700" i="1" s="1"/>
  <c r="O716" i="1" a="1"/>
  <c r="O716" i="1" s="1"/>
  <c r="O768" i="1" a="1"/>
  <c r="O768" i="1" s="1"/>
  <c r="O784" i="1" a="1"/>
  <c r="O784" i="1" s="1"/>
  <c r="O816" i="1" a="1"/>
  <c r="O816" i="1" s="1"/>
  <c r="O832" i="1" a="1"/>
  <c r="O832" i="1" s="1"/>
  <c r="O848" i="1" a="1"/>
  <c r="O848" i="1" s="1"/>
  <c r="O860" i="1" a="1"/>
  <c r="O860" i="1" s="1"/>
  <c r="O876" i="1" a="1"/>
  <c r="O876" i="1" s="1"/>
  <c r="Q393" i="1"/>
  <c r="Q409" i="1"/>
  <c r="Q425" i="1"/>
  <c r="Q441" i="1"/>
  <c r="Q457" i="1"/>
  <c r="Q473" i="1"/>
  <c r="Q489" i="1"/>
  <c r="Q505" i="1"/>
  <c r="Q521" i="1"/>
  <c r="Q537" i="1"/>
  <c r="Q450" i="1"/>
  <c r="Q474" i="1"/>
  <c r="Q490" i="1"/>
  <c r="Q506" i="1"/>
  <c r="Q522" i="1"/>
  <c r="Q542" i="1"/>
  <c r="Q554" i="1"/>
  <c r="Q622" i="1"/>
  <c r="Q690" i="1"/>
  <c r="Q706" i="1"/>
  <c r="Q770" i="1"/>
  <c r="Q834" i="1"/>
  <c r="Q882" i="1"/>
  <c r="M2" i="1"/>
  <c r="Q70" i="1"/>
  <c r="O23" i="1" a="1"/>
  <c r="O23" i="1" s="1"/>
  <c r="O43" i="1" a="1"/>
  <c r="O43" i="1" s="1"/>
  <c r="Q107" i="1"/>
  <c r="O139" i="1" a="1"/>
  <c r="O139" i="1" s="1"/>
  <c r="Q102" i="1"/>
  <c r="Q206" i="1"/>
  <c r="Q51" i="1"/>
  <c r="Q166" i="1"/>
  <c r="O51" i="1" a="1"/>
  <c r="O51" i="1" s="1"/>
  <c r="O83" i="1" a="1"/>
  <c r="O83" i="1" s="1"/>
  <c r="O115" i="1" a="1"/>
  <c r="O115" i="1" s="1"/>
  <c r="O147" i="1" a="1"/>
  <c r="O147" i="1" s="1"/>
  <c r="O179" i="1" a="1"/>
  <c r="O179" i="1" s="1"/>
  <c r="O324" i="1" a="1"/>
  <c r="O324" i="1" s="1"/>
  <c r="Q126" i="1"/>
  <c r="Q464" i="1"/>
  <c r="O400" i="1" a="1"/>
  <c r="O400" i="1" s="1"/>
  <c r="Q420" i="1"/>
  <c r="O572" i="1" a="1"/>
  <c r="O572" i="1" s="1"/>
  <c r="Q640" i="1"/>
  <c r="Q868" i="1"/>
  <c r="O368" i="1" a="1"/>
  <c r="O368" i="1" s="1"/>
  <c r="Q412" i="1"/>
  <c r="O98" i="1" a="1"/>
  <c r="O98" i="1" s="1"/>
  <c r="O868" i="1" a="1"/>
  <c r="O868" i="1" s="1"/>
  <c r="O762" i="1" a="1"/>
  <c r="O762" i="1" s="1"/>
  <c r="O17" i="1" a="1"/>
  <c r="O17" i="1" s="1"/>
  <c r="O818" i="1" a="1"/>
  <c r="O818" i="1" s="1"/>
  <c r="O343" i="1" a="1"/>
  <c r="O343" i="1" s="1"/>
  <c r="O471" i="1" a="1"/>
  <c r="O471" i="1" s="1"/>
  <c r="O503" i="1" a="1"/>
  <c r="O503" i="1" s="1"/>
  <c r="Q118" i="1"/>
  <c r="Q182" i="1"/>
  <c r="Q142" i="1"/>
  <c r="Q875" i="1"/>
  <c r="Q86" i="1"/>
  <c r="Q150" i="1"/>
  <c r="Q190" i="1"/>
  <c r="O212" i="1" a="1"/>
  <c r="O212" i="1" s="1"/>
  <c r="Q146" i="1"/>
  <c r="Q175" i="1"/>
  <c r="Q99" i="1"/>
  <c r="O640" i="1" a="1"/>
  <c r="O640" i="1" s="1"/>
  <c r="O652" i="1" a="1"/>
  <c r="O652" i="1" s="1"/>
  <c r="O692" i="1" a="1"/>
  <c r="O692" i="1" s="1"/>
  <c r="Q764" i="1"/>
  <c r="O265" i="1" a="1"/>
  <c r="O265" i="1" s="1"/>
  <c r="Q316" i="1"/>
  <c r="Q324" i="1"/>
  <c r="O356" i="1" a="1"/>
  <c r="O356" i="1" s="1"/>
  <c r="O388" i="1" a="1"/>
  <c r="O388" i="1" s="1"/>
  <c r="Q10" i="1"/>
  <c r="O146" i="1" a="1"/>
  <c r="O146" i="1" s="1"/>
  <c r="O163" i="1" a="1"/>
  <c r="O163" i="1" s="1"/>
  <c r="O680" i="1" a="1"/>
  <c r="O680" i="1" s="1"/>
  <c r="O792" i="1" a="1"/>
  <c r="O792" i="1" s="1"/>
  <c r="Q682" i="1"/>
  <c r="Q755" i="1"/>
  <c r="O891" i="1" a="1"/>
  <c r="O891" i="1" s="1"/>
  <c r="O385" i="1" a="1"/>
  <c r="O385" i="1" s="1"/>
  <c r="O398" i="1" a="1"/>
  <c r="O398" i="1" s="1"/>
  <c r="O827" i="1" a="1"/>
  <c r="O827" i="1" s="1"/>
  <c r="Q358" i="1"/>
  <c r="O235" i="1" a="1"/>
  <c r="O235" i="1" s="1"/>
  <c r="O77" i="1" a="1"/>
  <c r="O77" i="1" s="1"/>
  <c r="Q167" i="1"/>
  <c r="Q66" i="1"/>
  <c r="O281" i="1" a="1"/>
  <c r="O281" i="1" s="1"/>
  <c r="O270" i="1" a="1"/>
  <c r="O270" i="1" s="1"/>
  <c r="Q94" i="1"/>
  <c r="Q174" i="1"/>
  <c r="Q30" i="1"/>
  <c r="Q194" i="1"/>
  <c r="O137" i="1" a="1"/>
  <c r="O137" i="1" s="1"/>
  <c r="Q326" i="1"/>
  <c r="O430" i="1" a="1"/>
  <c r="O430" i="1" s="1"/>
  <c r="Q843" i="1"/>
  <c r="O336" i="1" a="1"/>
  <c r="O336" i="1" s="1"/>
  <c r="Q368" i="1"/>
  <c r="Q388" i="1"/>
  <c r="O412" i="1" a="1"/>
  <c r="O412" i="1" s="1"/>
  <c r="O420" i="1" a="1"/>
  <c r="O420" i="1" s="1"/>
  <c r="Q110" i="1"/>
  <c r="O26" i="1" a="1"/>
  <c r="O26" i="1" s="1"/>
  <c r="Q82" i="1"/>
  <c r="O162" i="1" a="1"/>
  <c r="O162" i="1" s="1"/>
  <c r="Q38" i="1"/>
  <c r="Q131" i="1"/>
  <c r="Q480" i="1"/>
  <c r="Q612" i="1"/>
  <c r="O764" i="1" a="1"/>
  <c r="O764" i="1" s="1"/>
  <c r="O896" i="1" a="1"/>
  <c r="O896" i="1" s="1"/>
  <c r="Q173" i="1"/>
  <c r="Q333" i="1"/>
  <c r="O254" i="1" a="1"/>
  <c r="O254" i="1" s="1"/>
  <c r="O334" i="1" a="1"/>
  <c r="O334" i="1" s="1"/>
  <c r="Q422" i="1"/>
  <c r="O682" i="1" a="1"/>
  <c r="O682" i="1" s="1"/>
  <c r="O782" i="1" a="1"/>
  <c r="O782" i="1" s="1"/>
  <c r="O635" i="1" a="1"/>
  <c r="O635" i="1" s="1"/>
  <c r="O82" i="1" a="1"/>
  <c r="O82" i="1" s="1"/>
  <c r="Q130" i="1"/>
  <c r="O131" i="1" a="1"/>
  <c r="O131" i="1" s="1"/>
  <c r="Q45" i="1"/>
  <c r="Q237" i="1"/>
  <c r="Q310" i="1"/>
  <c r="Q374" i="1"/>
  <c r="Q54" i="1"/>
  <c r="Q62" i="1"/>
  <c r="Q46" i="1"/>
  <c r="O55" i="1" a="1"/>
  <c r="O55" i="1" s="1"/>
  <c r="O109" i="1" a="1"/>
  <c r="O109" i="1" s="1"/>
  <c r="Q205" i="1"/>
  <c r="O333" i="1" a="1"/>
  <c r="O333" i="1" s="1"/>
  <c r="Q230" i="1"/>
  <c r="O286" i="1" a="1"/>
  <c r="O286" i="1" s="1"/>
  <c r="O318" i="1" a="1"/>
  <c r="O318" i="1" s="1"/>
  <c r="O350" i="1" a="1"/>
  <c r="O350" i="1" s="1"/>
  <c r="O382" i="1" a="1"/>
  <c r="O382" i="1" s="1"/>
  <c r="O406" i="1" a="1"/>
  <c r="O406" i="1" s="1"/>
  <c r="O351" i="1" a="1"/>
  <c r="O351" i="1" s="1"/>
  <c r="Q547" i="1"/>
  <c r="Q675" i="1"/>
  <c r="Q739" i="1"/>
  <c r="Q811" i="1"/>
  <c r="Q77" i="1"/>
  <c r="O149" i="1" a="1"/>
  <c r="O149" i="1" s="1"/>
  <c r="O237" i="1" a="1"/>
  <c r="O237" i="1" s="1"/>
  <c r="O301" i="1" a="1"/>
  <c r="O301" i="1" s="1"/>
  <c r="O302" i="1" a="1"/>
  <c r="O302" i="1" s="1"/>
  <c r="Q334" i="1"/>
  <c r="Q398" i="1"/>
  <c r="Q611" i="1"/>
  <c r="Q691" i="1"/>
  <c r="Q779" i="1"/>
  <c r="Q867" i="1"/>
  <c r="O65" i="1" a="1"/>
  <c r="O65" i="1" s="1"/>
  <c r="O129" i="1" a="1"/>
  <c r="O129" i="1" s="1"/>
  <c r="O201" i="1" a="1"/>
  <c r="O201" i="1" s="1"/>
  <c r="O257" i="1" a="1"/>
  <c r="O257" i="1" s="1"/>
  <c r="Q301" i="1"/>
  <c r="O365" i="1" a="1"/>
  <c r="O365" i="1" s="1"/>
  <c r="Q262" i="1"/>
  <c r="O342" i="1" a="1"/>
  <c r="O342" i="1" s="1"/>
  <c r="O366" i="1" a="1"/>
  <c r="O366" i="1" s="1"/>
  <c r="Q390" i="1"/>
  <c r="O414" i="1" a="1"/>
  <c r="O414" i="1" s="1"/>
  <c r="Q287" i="1"/>
  <c r="M69" i="1"/>
  <c r="Q69" i="1"/>
  <c r="M133" i="1"/>
  <c r="Q133" i="1"/>
  <c r="M197" i="1"/>
  <c r="Q197" i="1"/>
  <c r="M245" i="1"/>
  <c r="O245" i="1" a="1"/>
  <c r="O245" i="1" s="1"/>
  <c r="M373" i="1"/>
  <c r="O373" i="1" a="1"/>
  <c r="O373" i="1" s="1"/>
  <c r="M39" i="1"/>
  <c r="O39" i="1" a="1"/>
  <c r="O39" i="1" s="1"/>
  <c r="M74" i="1"/>
  <c r="O74" i="1" a="1"/>
  <c r="O74" i="1" s="1"/>
  <c r="M90" i="1"/>
  <c r="O90" i="1" a="1"/>
  <c r="O90" i="1" s="1"/>
  <c r="M106" i="1"/>
  <c r="O106" i="1" a="1"/>
  <c r="O106" i="1" s="1"/>
  <c r="M122" i="1"/>
  <c r="O122" i="1" a="1"/>
  <c r="O122" i="1" s="1"/>
  <c r="M154" i="1"/>
  <c r="O154" i="1" a="1"/>
  <c r="O154" i="1" s="1"/>
  <c r="M47" i="1"/>
  <c r="O47" i="1" a="1"/>
  <c r="O47" i="1" s="1"/>
  <c r="M155" i="1"/>
  <c r="Q155" i="1"/>
  <c r="M415" i="1"/>
  <c r="O415" i="1" a="1"/>
  <c r="O415" i="1" s="1"/>
  <c r="M452" i="1"/>
  <c r="Q452" i="1"/>
  <c r="M624" i="1"/>
  <c r="Q624" i="1"/>
  <c r="M748" i="1"/>
  <c r="Q748" i="1"/>
  <c r="M812" i="1"/>
  <c r="Q812" i="1"/>
  <c r="M840" i="1"/>
  <c r="Q840" i="1"/>
  <c r="M852" i="1"/>
  <c r="Q852" i="1"/>
  <c r="M884" i="1"/>
  <c r="Q884" i="1"/>
  <c r="M438" i="1"/>
  <c r="O438" i="1" a="1"/>
  <c r="O438" i="1" s="1"/>
  <c r="M446" i="1"/>
  <c r="O446" i="1" a="1"/>
  <c r="O446" i="1" s="1"/>
  <c r="M454" i="1"/>
  <c r="O454" i="1" a="1"/>
  <c r="O454" i="1" s="1"/>
  <c r="M462" i="1"/>
  <c r="O462" i="1" a="1"/>
  <c r="O462" i="1" s="1"/>
  <c r="M478" i="1"/>
  <c r="O478" i="1" a="1"/>
  <c r="O478" i="1" s="1"/>
  <c r="M486" i="1"/>
  <c r="O486" i="1" a="1"/>
  <c r="O486" i="1" s="1"/>
  <c r="M494" i="1"/>
  <c r="O494" i="1" a="1"/>
  <c r="O494" i="1" s="1"/>
  <c r="M502" i="1"/>
  <c r="O502" i="1" a="1"/>
  <c r="O502" i="1" s="1"/>
  <c r="M510" i="1"/>
  <c r="O510" i="1" a="1"/>
  <c r="O510" i="1" s="1"/>
  <c r="M518" i="1"/>
  <c r="O518" i="1" a="1"/>
  <c r="O518" i="1" s="1"/>
  <c r="M526" i="1"/>
  <c r="O526" i="1" a="1"/>
  <c r="O526" i="1" s="1"/>
  <c r="M742" i="1"/>
  <c r="O742" i="1" a="1"/>
  <c r="O742" i="1" s="1"/>
  <c r="M838" i="1"/>
  <c r="O838" i="1" a="1"/>
  <c r="O838" i="1" s="1"/>
  <c r="M101" i="1"/>
  <c r="Q101" i="1"/>
  <c r="M269" i="1"/>
  <c r="Q269" i="1"/>
  <c r="M293" i="1"/>
  <c r="Q293" i="1"/>
  <c r="M341" i="1"/>
  <c r="O341" i="1" a="1"/>
  <c r="O341" i="1" s="1"/>
  <c r="M42" i="1"/>
  <c r="Q42" i="1"/>
  <c r="M58" i="1"/>
  <c r="O58" i="1" a="1"/>
  <c r="O58" i="1" s="1"/>
  <c r="M138" i="1"/>
  <c r="O138" i="1" a="1"/>
  <c r="O138" i="1" s="1"/>
  <c r="M170" i="1"/>
  <c r="O170" i="1" a="1"/>
  <c r="O170" i="1" s="1"/>
  <c r="M186" i="1"/>
  <c r="O186" i="1" a="1"/>
  <c r="O186" i="1" s="1"/>
  <c r="M202" i="1"/>
  <c r="O202" i="1" a="1"/>
  <c r="O202" i="1" s="1"/>
  <c r="M59" i="1"/>
  <c r="Q59" i="1"/>
  <c r="M91" i="1"/>
  <c r="Q91" i="1"/>
  <c r="M123" i="1"/>
  <c r="Q123" i="1"/>
  <c r="M187" i="1"/>
  <c r="Q187" i="1"/>
  <c r="M524" i="1"/>
  <c r="Q524" i="1"/>
  <c r="M556" i="1"/>
  <c r="Q556" i="1"/>
  <c r="M584" i="1"/>
  <c r="Q584" i="1"/>
  <c r="M596" i="1"/>
  <c r="Q596" i="1"/>
  <c r="M668" i="1"/>
  <c r="Q668" i="1"/>
  <c r="M708" i="1"/>
  <c r="Q708" i="1"/>
  <c r="M736" i="1"/>
  <c r="Q736" i="1"/>
  <c r="M776" i="1"/>
  <c r="Q776" i="1"/>
  <c r="Q212" i="1"/>
  <c r="Q336" i="1"/>
  <c r="Q356" i="1"/>
  <c r="Q400" i="1"/>
  <c r="O10" i="1" a="1"/>
  <c r="O10" i="1" s="1"/>
  <c r="O42" i="1" a="1"/>
  <c r="O42" i="1" s="1"/>
  <c r="O66" i="1" a="1"/>
  <c r="O66" i="1" s="1"/>
  <c r="Q90" i="1"/>
  <c r="Q114" i="1"/>
  <c r="O130" i="1" a="1"/>
  <c r="O130" i="1" s="1"/>
  <c r="Q154" i="1"/>
  <c r="Q178" i="1"/>
  <c r="O194" i="1" a="1"/>
  <c r="O194" i="1" s="1"/>
  <c r="Q143" i="1"/>
  <c r="Q39" i="1"/>
  <c r="Q67" i="1"/>
  <c r="O99" i="1" a="1"/>
  <c r="O99" i="1" s="1"/>
  <c r="O155" i="1" a="1"/>
  <c r="O155" i="1" s="1"/>
  <c r="Q195" i="1"/>
  <c r="O464" i="1" a="1"/>
  <c r="O464" i="1" s="1"/>
  <c r="O480" i="1" a="1"/>
  <c r="O480" i="1" s="1"/>
  <c r="O556" i="1" a="1"/>
  <c r="O556" i="1" s="1"/>
  <c r="O612" i="1" a="1"/>
  <c r="O612" i="1" s="1"/>
  <c r="O668" i="1" a="1"/>
  <c r="O668" i="1" s="1"/>
  <c r="Q724" i="1"/>
  <c r="O776" i="1" a="1"/>
  <c r="O776" i="1" s="1"/>
  <c r="Q824" i="1"/>
  <c r="O884" i="1" a="1"/>
  <c r="O884" i="1" s="1"/>
  <c r="O53" i="1" a="1"/>
  <c r="O53" i="1" s="1"/>
  <c r="O85" i="1" a="1"/>
  <c r="O85" i="1" s="1"/>
  <c r="O173" i="1" a="1"/>
  <c r="O173" i="1" s="1"/>
  <c r="O213" i="1" a="1"/>
  <c r="O213" i="1" s="1"/>
  <c r="O277" i="1" a="1"/>
  <c r="O277" i="1" s="1"/>
  <c r="O309" i="1" a="1"/>
  <c r="O309" i="1" s="1"/>
  <c r="Q357" i="1"/>
  <c r="Q389" i="1"/>
  <c r="Q397" i="1"/>
  <c r="Q405" i="1"/>
  <c r="Q413" i="1"/>
  <c r="Q421" i="1"/>
  <c r="Q429" i="1"/>
  <c r="Q437" i="1"/>
  <c r="Q445" i="1"/>
  <c r="Q453" i="1"/>
  <c r="Q461" i="1"/>
  <c r="Q469" i="1"/>
  <c r="Q477" i="1"/>
  <c r="Q485" i="1"/>
  <c r="Q493" i="1"/>
  <c r="Q501" i="1"/>
  <c r="Q509" i="1"/>
  <c r="Q517" i="1"/>
  <c r="Q525" i="1"/>
  <c r="Q533" i="1"/>
  <c r="Q541" i="1"/>
  <c r="Q446" i="1"/>
  <c r="Q486" i="1"/>
  <c r="Q518" i="1"/>
  <c r="Q742" i="1"/>
  <c r="Q866" i="1"/>
  <c r="Q894" i="1"/>
  <c r="Q335" i="1"/>
  <c r="M37" i="1"/>
  <c r="Q37" i="1"/>
  <c r="Q151" i="1"/>
  <c r="Q34" i="1"/>
  <c r="Q26" i="1"/>
  <c r="Q74" i="1"/>
  <c r="Q98" i="1"/>
  <c r="O114" i="1" a="1"/>
  <c r="O114" i="1" s="1"/>
  <c r="Q138" i="1"/>
  <c r="Q162" i="1"/>
  <c r="O178" i="1" a="1"/>
  <c r="O178" i="1" s="1"/>
  <c r="Q202" i="1"/>
  <c r="O67" i="1" a="1"/>
  <c r="O67" i="1" s="1"/>
  <c r="O123" i="1" a="1"/>
  <c r="O123" i="1" s="1"/>
  <c r="Q163" i="1"/>
  <c r="O195" i="1" a="1"/>
  <c r="O195" i="1" s="1"/>
  <c r="O524" i="1" a="1"/>
  <c r="O524" i="1" s="1"/>
  <c r="Q572" i="1"/>
  <c r="O624" i="1" a="1"/>
  <c r="O624" i="1" s="1"/>
  <c r="Q680" i="1"/>
  <c r="Q692" i="1"/>
  <c r="O724" i="1" a="1"/>
  <c r="O724" i="1" s="1"/>
  <c r="O748" i="1" a="1"/>
  <c r="O748" i="1" s="1"/>
  <c r="Q792" i="1"/>
  <c r="O824" i="1" a="1"/>
  <c r="O824" i="1" s="1"/>
  <c r="O852" i="1" a="1"/>
  <c r="O852" i="1" s="1"/>
  <c r="Q896" i="1"/>
  <c r="Q109" i="1"/>
  <c r="O141" i="1" a="1"/>
  <c r="O141" i="1" s="1"/>
  <c r="O181" i="1" a="1"/>
  <c r="O181" i="1" s="1"/>
  <c r="Q229" i="1"/>
  <c r="Q261" i="1"/>
  <c r="Q325" i="1"/>
  <c r="Q365" i="1"/>
  <c r="O389" i="1" a="1"/>
  <c r="O389" i="1" s="1"/>
  <c r="O397" i="1" a="1"/>
  <c r="O397" i="1" s="1"/>
  <c r="O405" i="1" a="1"/>
  <c r="O405" i="1" s="1"/>
  <c r="O413" i="1" a="1"/>
  <c r="O413" i="1" s="1"/>
  <c r="O421" i="1" a="1"/>
  <c r="O421" i="1" s="1"/>
  <c r="O429" i="1" a="1"/>
  <c r="O429" i="1" s="1"/>
  <c r="O437" i="1" a="1"/>
  <c r="O437" i="1" s="1"/>
  <c r="O445" i="1" a="1"/>
  <c r="O445" i="1" s="1"/>
  <c r="O453" i="1" a="1"/>
  <c r="O453" i="1" s="1"/>
  <c r="O461" i="1" a="1"/>
  <c r="O461" i="1" s="1"/>
  <c r="O469" i="1" a="1"/>
  <c r="O469" i="1" s="1"/>
  <c r="O477" i="1" a="1"/>
  <c r="O477" i="1" s="1"/>
  <c r="O485" i="1" a="1"/>
  <c r="O485" i="1" s="1"/>
  <c r="O493" i="1" a="1"/>
  <c r="O493" i="1" s="1"/>
  <c r="O501" i="1" a="1"/>
  <c r="O501" i="1" s="1"/>
  <c r="O509" i="1" a="1"/>
  <c r="O509" i="1" s="1"/>
  <c r="O517" i="1" a="1"/>
  <c r="O517" i="1" s="1"/>
  <c r="O525" i="1" a="1"/>
  <c r="O525" i="1" s="1"/>
  <c r="O533" i="1" a="1"/>
  <c r="O533" i="1" s="1"/>
  <c r="O541" i="1" a="1"/>
  <c r="O541" i="1" s="1"/>
  <c r="Q438" i="1"/>
  <c r="Q478" i="1"/>
  <c r="Q510" i="1"/>
  <c r="Q762" i="1"/>
  <c r="Q782" i="1"/>
  <c r="Q818" i="1"/>
  <c r="O866" i="1" a="1"/>
  <c r="O866" i="1" s="1"/>
  <c r="O894" i="1" a="1"/>
  <c r="O894" i="1" s="1"/>
  <c r="O335" i="1" a="1"/>
  <c r="O335" i="1" s="1"/>
  <c r="Q415" i="1"/>
  <c r="M153" i="1"/>
  <c r="O153" i="1" a="1"/>
  <c r="O153" i="1" s="1"/>
  <c r="M217" i="1"/>
  <c r="O217" i="1" a="1"/>
  <c r="O217" i="1" s="1"/>
  <c r="M321" i="1"/>
  <c r="O321" i="1" a="1"/>
  <c r="O321" i="1" s="1"/>
  <c r="M14" i="1"/>
  <c r="Q14" i="1"/>
  <c r="O222" i="1" a="1"/>
  <c r="O222" i="1" s="1"/>
  <c r="O238" i="1" a="1"/>
  <c r="O238" i="1" s="1"/>
  <c r="Q294" i="1"/>
  <c r="O310" i="1" a="1"/>
  <c r="O310" i="1" s="1"/>
  <c r="Q350" i="1"/>
  <c r="O358" i="1" a="1"/>
  <c r="O358" i="1" s="1"/>
  <c r="O374" i="1" a="1"/>
  <c r="O374" i="1" s="1"/>
  <c r="Q414" i="1"/>
  <c r="O422" i="1" a="1"/>
  <c r="O422" i="1" s="1"/>
  <c r="O383" i="1" a="1"/>
  <c r="O383" i="1" s="1"/>
  <c r="O246" i="1" a="1"/>
  <c r="O246" i="1" s="1"/>
  <c r="O411" i="1" a="1"/>
  <c r="O411" i="1" s="1"/>
  <c r="Q523" i="1"/>
  <c r="Q587" i="1"/>
  <c r="Q619" i="1"/>
  <c r="Q651" i="1"/>
  <c r="Q683" i="1"/>
  <c r="O699" i="1" a="1"/>
  <c r="O699" i="1" s="1"/>
  <c r="Q6" i="1"/>
  <c r="Q22" i="1"/>
  <c r="Q78" i="1"/>
  <c r="O14" i="1" a="1"/>
  <c r="O14" i="1" s="1"/>
  <c r="O30" i="1" a="1"/>
  <c r="O30" i="1" s="1"/>
  <c r="O46" i="1" a="1"/>
  <c r="O46" i="1" s="1"/>
  <c r="O45" i="1" a="1"/>
  <c r="O45" i="1" s="1"/>
  <c r="O73" i="1" a="1"/>
  <c r="O73" i="1" s="1"/>
  <c r="O89" i="1" a="1"/>
  <c r="O89" i="1" s="1"/>
  <c r="O117" i="1" a="1"/>
  <c r="O117" i="1" s="1"/>
  <c r="Q141" i="1"/>
  <c r="Q165" i="1"/>
  <c r="O193" i="1" a="1"/>
  <c r="O193" i="1" s="1"/>
  <c r="O205" i="1" a="1"/>
  <c r="O205" i="1" s="1"/>
  <c r="O329" i="1" a="1"/>
  <c r="O329" i="1" s="1"/>
  <c r="O345" i="1" a="1"/>
  <c r="O345" i="1" s="1"/>
  <c r="O214" i="1" a="1"/>
  <c r="O214" i="1" s="1"/>
  <c r="O278" i="1" a="1"/>
  <c r="O278" i="1" s="1"/>
  <c r="Q318" i="1"/>
  <c r="O326" i="1" a="1"/>
  <c r="O326" i="1" s="1"/>
  <c r="Q342" i="1"/>
  <c r="Q366" i="1"/>
  <c r="Q382" i="1"/>
  <c r="O390" i="1" a="1"/>
  <c r="O390" i="1" s="1"/>
  <c r="Q406" i="1"/>
  <c r="Q430" i="1"/>
  <c r="Q211" i="1"/>
  <c r="O307" i="1" a="1"/>
  <c r="O307" i="1" s="1"/>
  <c r="O435" i="1" a="1"/>
  <c r="O435" i="1" s="1"/>
  <c r="Q627" i="1"/>
  <c r="Q715" i="1"/>
  <c r="Q747" i="1"/>
  <c r="O763" i="1" a="1"/>
  <c r="O763" i="1" s="1"/>
  <c r="Q803" i="1"/>
  <c r="Q883" i="1"/>
  <c r="O223" i="1" a="1"/>
  <c r="O223" i="1" s="1"/>
  <c r="Q255" i="1"/>
  <c r="O267" i="1" a="1"/>
  <c r="O267" i="1" s="1"/>
  <c r="O363" i="1" a="1"/>
  <c r="O363" i="1" s="1"/>
  <c r="O443" i="1" a="1"/>
  <c r="O443" i="1" s="1"/>
  <c r="O531" i="1" a="1"/>
  <c r="O531" i="1" s="1"/>
  <c r="Q563" i="1"/>
  <c r="M158" i="1"/>
  <c r="O299" i="1" a="1"/>
  <c r="O299" i="1" s="1"/>
  <c r="O331" i="1" a="1"/>
  <c r="O331" i="1" s="1"/>
  <c r="Q403" i="1"/>
  <c r="Q427" i="1"/>
  <c r="Q451" i="1"/>
  <c r="O463" i="1" a="1"/>
  <c r="O463" i="1" s="1"/>
  <c r="Q479" i="1"/>
  <c r="O495" i="1" a="1"/>
  <c r="O495" i="1" s="1"/>
  <c r="Q511" i="1"/>
  <c r="Q555" i="1"/>
  <c r="O571" i="1" a="1"/>
  <c r="O571" i="1" s="1"/>
  <c r="Q243" i="1"/>
  <c r="O275" i="1" a="1"/>
  <c r="O275" i="1" s="1"/>
  <c r="Q307" i="1"/>
  <c r="O339" i="1" a="1"/>
  <c r="O339" i="1" s="1"/>
  <c r="Q363" i="1"/>
  <c r="O395" i="1" a="1"/>
  <c r="O395" i="1" s="1"/>
  <c r="O427" i="1" a="1"/>
  <c r="O427" i="1" s="1"/>
  <c r="O511" i="1" a="1"/>
  <c r="O511" i="1" s="1"/>
  <c r="Q539" i="1"/>
  <c r="Q571" i="1"/>
  <c r="O587" i="1" a="1"/>
  <c r="O587" i="1" s="1"/>
  <c r="Q603" i="1"/>
  <c r="Q635" i="1"/>
  <c r="O651" i="1" a="1"/>
  <c r="O651" i="1" s="1"/>
  <c r="Q667" i="1"/>
  <c r="Q699" i="1"/>
  <c r="O715" i="1" a="1"/>
  <c r="O715" i="1" s="1"/>
  <c r="Q731" i="1"/>
  <c r="Q763" i="1"/>
  <c r="O779" i="1" a="1"/>
  <c r="O779" i="1" s="1"/>
  <c r="Q795" i="1"/>
  <c r="Q827" i="1"/>
  <c r="O843" i="1" a="1"/>
  <c r="O843" i="1" s="1"/>
  <c r="Q859" i="1"/>
  <c r="Q891" i="1"/>
  <c r="M118" i="1"/>
  <c r="Q223" i="1"/>
  <c r="Q235" i="1"/>
  <c r="O255" i="1" a="1"/>
  <c r="O255" i="1" s="1"/>
  <c r="Q267" i="1"/>
  <c r="O287" i="1" a="1"/>
  <c r="O287" i="1" s="1"/>
  <c r="O319" i="1" a="1"/>
  <c r="O319" i="1" s="1"/>
  <c r="O371" i="1" a="1"/>
  <c r="O371" i="1" s="1"/>
  <c r="O403" i="1" a="1"/>
  <c r="O403" i="1" s="1"/>
  <c r="O419" i="1" a="1"/>
  <c r="O419" i="1" s="1"/>
  <c r="Q443" i="1"/>
  <c r="O451" i="1" a="1"/>
  <c r="O451" i="1" s="1"/>
  <c r="Q463" i="1"/>
  <c r="Q531" i="1"/>
  <c r="O547" i="1" a="1"/>
  <c r="O547" i="1" s="1"/>
  <c r="O563" i="1" a="1"/>
  <c r="O563" i="1" s="1"/>
  <c r="Q579" i="1"/>
  <c r="O595" i="1" a="1"/>
  <c r="O595" i="1" s="1"/>
  <c r="O611" i="1" a="1"/>
  <c r="O611" i="1" s="1"/>
  <c r="O627" i="1" a="1"/>
  <c r="O627" i="1" s="1"/>
  <c r="Q643" i="1"/>
  <c r="O659" i="1" a="1"/>
  <c r="O659" i="1" s="1"/>
  <c r="O675" i="1" a="1"/>
  <c r="O675" i="1" s="1"/>
  <c r="O691" i="1" a="1"/>
  <c r="O691" i="1" s="1"/>
  <c r="Q707" i="1"/>
  <c r="O723" i="1" a="1"/>
  <c r="O723" i="1" s="1"/>
  <c r="O739" i="1" a="1"/>
  <c r="O739" i="1" s="1"/>
  <c r="O755" i="1" a="1"/>
  <c r="O755" i="1" s="1"/>
  <c r="Q771" i="1"/>
  <c r="O787" i="1" a="1"/>
  <c r="O787" i="1" s="1"/>
  <c r="O803" i="1" a="1"/>
  <c r="O803" i="1" s="1"/>
  <c r="O819" i="1" a="1"/>
  <c r="O819" i="1" s="1"/>
  <c r="Q835" i="1"/>
  <c r="O851" i="1" a="1"/>
  <c r="O851" i="1" s="1"/>
  <c r="O867" i="1" a="1"/>
  <c r="O867" i="1" s="1"/>
  <c r="O883" i="1" a="1"/>
  <c r="O883" i="1" s="1"/>
  <c r="Q899" i="1"/>
  <c r="O211" i="1" a="1"/>
  <c r="O211" i="1" s="1"/>
  <c r="O243" i="1" a="1"/>
  <c r="O243" i="1" s="1"/>
  <c r="Q275" i="1"/>
  <c r="Q299" i="1"/>
  <c r="Q319" i="1"/>
  <c r="Q331" i="1"/>
  <c r="Q339" i="1"/>
  <c r="Q351" i="1"/>
  <c r="Q371" i="1"/>
  <c r="Q383" i="1"/>
  <c r="Q395" i="1"/>
  <c r="Q411" i="1"/>
  <c r="Q419" i="1"/>
  <c r="Q435" i="1"/>
  <c r="O479" i="1" a="1"/>
  <c r="O479" i="1" s="1"/>
  <c r="Q495" i="1"/>
  <c r="O523" i="1" a="1"/>
  <c r="O523" i="1" s="1"/>
  <c r="O539" i="1" a="1"/>
  <c r="O539" i="1" s="1"/>
  <c r="O555" i="1" a="1"/>
  <c r="O555" i="1" s="1"/>
  <c r="O579" i="1" a="1"/>
  <c r="O579" i="1" s="1"/>
  <c r="Q595" i="1"/>
  <c r="O603" i="1" a="1"/>
  <c r="O603" i="1" s="1"/>
  <c r="O619" i="1" a="1"/>
  <c r="O619" i="1" s="1"/>
  <c r="O643" i="1" a="1"/>
  <c r="O643" i="1" s="1"/>
  <c r="Q659" i="1"/>
  <c r="O667" i="1" a="1"/>
  <c r="O667" i="1" s="1"/>
  <c r="O683" i="1" a="1"/>
  <c r="O683" i="1" s="1"/>
  <c r="O707" i="1" a="1"/>
  <c r="O707" i="1" s="1"/>
  <c r="Q723" i="1"/>
  <c r="O731" i="1" a="1"/>
  <c r="O731" i="1" s="1"/>
  <c r="O747" i="1" a="1"/>
  <c r="O747" i="1" s="1"/>
  <c r="O771" i="1" a="1"/>
  <c r="O771" i="1" s="1"/>
  <c r="Q787" i="1"/>
  <c r="O795" i="1" a="1"/>
  <c r="O795" i="1" s="1"/>
  <c r="O811" i="1" a="1"/>
  <c r="O811" i="1" s="1"/>
  <c r="O835" i="1" a="1"/>
  <c r="O835" i="1" s="1"/>
  <c r="Q851" i="1"/>
  <c r="O859" i="1" a="1"/>
  <c r="O859" i="1" s="1"/>
  <c r="O875" i="1" a="1"/>
  <c r="O875" i="1" s="1"/>
  <c r="O899" i="1" a="1"/>
  <c r="O899" i="1" s="1"/>
  <c r="O190" i="1" a="1"/>
  <c r="O190" i="1" s="1"/>
  <c r="M38" i="1"/>
  <c r="O311" i="1" a="1"/>
  <c r="O311" i="1" s="1"/>
  <c r="Q279" i="1"/>
  <c r="M143" i="1"/>
  <c r="M142" i="1"/>
  <c r="O33" i="1" a="1"/>
  <c r="O33" i="1" s="1"/>
  <c r="O105" i="1" a="1"/>
  <c r="O105" i="1" s="1"/>
  <c r="O121" i="1" a="1"/>
  <c r="O121" i="1" s="1"/>
  <c r="O161" i="1" a="1"/>
  <c r="O161" i="1" s="1"/>
  <c r="O233" i="1" a="1"/>
  <c r="O233" i="1" s="1"/>
  <c r="O249" i="1" a="1"/>
  <c r="O249" i="1" s="1"/>
  <c r="O289" i="1" a="1"/>
  <c r="O289" i="1" s="1"/>
  <c r="O361" i="1" a="1"/>
  <c r="O361" i="1" s="1"/>
  <c r="O377" i="1" a="1"/>
  <c r="O377" i="1" s="1"/>
  <c r="Q214" i="1"/>
  <c r="Q238" i="1"/>
  <c r="Q254" i="1"/>
  <c r="O262" i="1" a="1"/>
  <c r="O262" i="1" s="1"/>
  <c r="Q278" i="1"/>
  <c r="Q302" i="1"/>
  <c r="O279" i="1" a="1"/>
  <c r="O279" i="1" s="1"/>
  <c r="O175" i="1" a="1"/>
  <c r="O175" i="1" s="1"/>
  <c r="O206" i="1" a="1"/>
  <c r="O206" i="1" s="1"/>
  <c r="M102" i="1"/>
  <c r="M22" i="1"/>
  <c r="O94" i="1" a="1"/>
  <c r="O94" i="1" s="1"/>
  <c r="Q55" i="1"/>
  <c r="O41" i="1" a="1"/>
  <c r="O41" i="1" s="1"/>
  <c r="O57" i="1" a="1"/>
  <c r="O57" i="1" s="1"/>
  <c r="O97" i="1" a="1"/>
  <c r="O97" i="1" s="1"/>
  <c r="O169" i="1" a="1"/>
  <c r="O169" i="1" s="1"/>
  <c r="O185" i="1" a="1"/>
  <c r="O185" i="1" s="1"/>
  <c r="O225" i="1" a="1"/>
  <c r="O225" i="1" s="1"/>
  <c r="O297" i="1" a="1"/>
  <c r="O297" i="1" s="1"/>
  <c r="O313" i="1" a="1"/>
  <c r="O313" i="1" s="1"/>
  <c r="O353" i="1" a="1"/>
  <c r="O353" i="1" s="1"/>
  <c r="Q222" i="1"/>
  <c r="O230" i="1" a="1"/>
  <c r="O230" i="1" s="1"/>
  <c r="Q246" i="1"/>
  <c r="Q270" i="1"/>
  <c r="Q286" i="1"/>
  <c r="O294" i="1" a="1"/>
  <c r="O294" i="1" s="1"/>
  <c r="M95" i="1"/>
  <c r="M182" i="1"/>
  <c r="O126" i="1" a="1"/>
  <c r="O126" i="1" s="1"/>
  <c r="O78" i="1" a="1"/>
  <c r="O78" i="1" s="1"/>
  <c r="M70" i="1"/>
  <c r="O49" i="1" a="1"/>
  <c r="O49" i="1" s="1"/>
  <c r="O81" i="1" a="1"/>
  <c r="O81" i="1" s="1"/>
  <c r="O113" i="1" a="1"/>
  <c r="O113" i="1" s="1"/>
  <c r="O145" i="1" a="1"/>
  <c r="O145" i="1" s="1"/>
  <c r="O177" i="1" a="1"/>
  <c r="O177" i="1" s="1"/>
  <c r="O209" i="1" a="1"/>
  <c r="O209" i="1" s="1"/>
  <c r="O241" i="1" a="1"/>
  <c r="O241" i="1" s="1"/>
  <c r="O273" i="1" a="1"/>
  <c r="O273" i="1" s="1"/>
  <c r="O305" i="1" a="1"/>
  <c r="O305" i="1" s="1"/>
  <c r="O337" i="1" a="1"/>
  <c r="O337" i="1" s="1"/>
  <c r="O369" i="1" a="1"/>
  <c r="O369" i="1" s="1"/>
  <c r="Q423" i="1"/>
  <c r="M167" i="1"/>
  <c r="M174" i="1"/>
  <c r="O134" i="1" a="1"/>
  <c r="O134" i="1" s="1"/>
  <c r="O62" i="1" a="1"/>
  <c r="O62" i="1" s="1"/>
  <c r="O5" i="1" a="1"/>
  <c r="O5" i="1" s="1"/>
  <c r="Q103" i="1"/>
  <c r="Q15" i="1"/>
  <c r="O180" i="1" a="1"/>
  <c r="O180" i="1" s="1"/>
  <c r="Q552" i="1"/>
  <c r="O52" i="1" a="1"/>
  <c r="O52" i="1" s="1"/>
  <c r="O228" i="1" a="1"/>
  <c r="O228" i="1" s="1"/>
  <c r="O500" i="1" a="1"/>
  <c r="O500" i="1" s="1"/>
  <c r="O183" i="1" a="1"/>
  <c r="O183" i="1" s="1"/>
  <c r="M183" i="1"/>
  <c r="M295" i="1"/>
  <c r="O295" i="1" a="1"/>
  <c r="O295" i="1" s="1"/>
  <c r="O50" i="1" a="1"/>
  <c r="O50" i="1" s="1"/>
  <c r="M50" i="1"/>
  <c r="M210" i="1"/>
  <c r="O210" i="1" a="1"/>
  <c r="O210" i="1" s="1"/>
  <c r="M218" i="1"/>
  <c r="O218" i="1" a="1"/>
  <c r="O218" i="1" s="1"/>
  <c r="M226" i="1"/>
  <c r="O226" i="1" a="1"/>
  <c r="O226" i="1" s="1"/>
  <c r="M234" i="1"/>
  <c r="O234" i="1" a="1"/>
  <c r="O234" i="1" s="1"/>
  <c r="M242" i="1"/>
  <c r="O242" i="1" a="1"/>
  <c r="O242" i="1" s="1"/>
  <c r="M250" i="1"/>
  <c r="O250" i="1" a="1"/>
  <c r="O250" i="1" s="1"/>
  <c r="M258" i="1"/>
  <c r="O258" i="1" a="1"/>
  <c r="O258" i="1" s="1"/>
  <c r="M266" i="1"/>
  <c r="O266" i="1" a="1"/>
  <c r="O266" i="1" s="1"/>
  <c r="M274" i="1"/>
  <c r="O274" i="1" a="1"/>
  <c r="O274" i="1" s="1"/>
  <c r="M282" i="1"/>
  <c r="O282" i="1" a="1"/>
  <c r="O282" i="1" s="1"/>
  <c r="M290" i="1"/>
  <c r="O290" i="1" a="1"/>
  <c r="O290" i="1" s="1"/>
  <c r="M298" i="1"/>
  <c r="O298" i="1" a="1"/>
  <c r="O298" i="1" s="1"/>
  <c r="M306" i="1"/>
  <c r="O306" i="1" a="1"/>
  <c r="O306" i="1" s="1"/>
  <c r="M314" i="1"/>
  <c r="O314" i="1" a="1"/>
  <c r="O314" i="1" s="1"/>
  <c r="M322" i="1"/>
  <c r="O322" i="1" a="1"/>
  <c r="O322" i="1" s="1"/>
  <c r="M330" i="1"/>
  <c r="O330" i="1" a="1"/>
  <c r="O330" i="1" s="1"/>
  <c r="M338" i="1"/>
  <c r="O338" i="1" a="1"/>
  <c r="O338" i="1" s="1"/>
  <c r="M346" i="1"/>
  <c r="O346" i="1" a="1"/>
  <c r="O346" i="1" s="1"/>
  <c r="M354" i="1"/>
  <c r="O354" i="1" a="1"/>
  <c r="O354" i="1" s="1"/>
  <c r="M362" i="1"/>
  <c r="O362" i="1" a="1"/>
  <c r="O362" i="1" s="1"/>
  <c r="M370" i="1"/>
  <c r="O370" i="1" a="1"/>
  <c r="O370" i="1" s="1"/>
  <c r="M378" i="1"/>
  <c r="O378" i="1" a="1"/>
  <c r="O378" i="1" s="1"/>
  <c r="M386" i="1"/>
  <c r="O386" i="1" a="1"/>
  <c r="O386" i="1" s="1"/>
  <c r="M394" i="1"/>
  <c r="O394" i="1" a="1"/>
  <c r="O394" i="1" s="1"/>
  <c r="M402" i="1"/>
  <c r="O402" i="1" a="1"/>
  <c r="O402" i="1" s="1"/>
  <c r="M410" i="1"/>
  <c r="O410" i="1" a="1"/>
  <c r="O410" i="1" s="1"/>
  <c r="M418" i="1"/>
  <c r="O418" i="1" a="1"/>
  <c r="O418" i="1" s="1"/>
  <c r="M426" i="1"/>
  <c r="O426" i="1" a="1"/>
  <c r="O426" i="1" s="1"/>
  <c r="M434" i="1"/>
  <c r="O434" i="1" a="1"/>
  <c r="O434" i="1" s="1"/>
  <c r="O79" i="1" a="1"/>
  <c r="O79" i="1" s="1"/>
  <c r="M79" i="1"/>
  <c r="O111" i="1" a="1"/>
  <c r="O111" i="1" s="1"/>
  <c r="M111" i="1"/>
  <c r="M219" i="1"/>
  <c r="O219" i="1" a="1"/>
  <c r="O219" i="1" s="1"/>
  <c r="M227" i="1"/>
  <c r="O227" i="1" a="1"/>
  <c r="O227" i="1" s="1"/>
  <c r="M239" i="1"/>
  <c r="Q239" i="1"/>
  <c r="M251" i="1"/>
  <c r="Q251" i="1"/>
  <c r="M259" i="1"/>
  <c r="Q259" i="1"/>
  <c r="M271" i="1"/>
  <c r="O271" i="1" a="1"/>
  <c r="O271" i="1" s="1"/>
  <c r="M283" i="1"/>
  <c r="Q283" i="1"/>
  <c r="M291" i="1"/>
  <c r="Q291" i="1"/>
  <c r="M303" i="1"/>
  <c r="O303" i="1" a="1"/>
  <c r="O303" i="1" s="1"/>
  <c r="M315" i="1"/>
  <c r="O315" i="1" a="1"/>
  <c r="O315" i="1" s="1"/>
  <c r="Q315" i="1"/>
  <c r="M323" i="1"/>
  <c r="O323" i="1" a="1"/>
  <c r="O323" i="1" s="1"/>
  <c r="Q323" i="1"/>
  <c r="M347" i="1"/>
  <c r="O347" i="1" a="1"/>
  <c r="O347" i="1" s="1"/>
  <c r="Q347" i="1"/>
  <c r="M355" i="1"/>
  <c r="O355" i="1" a="1"/>
  <c r="O355" i="1" s="1"/>
  <c r="Q355" i="1"/>
  <c r="M367" i="1"/>
  <c r="O367" i="1" a="1"/>
  <c r="O367" i="1" s="1"/>
  <c r="Q367" i="1"/>
  <c r="M399" i="1"/>
  <c r="O399" i="1" a="1"/>
  <c r="O399" i="1" s="1"/>
  <c r="Q399" i="1"/>
  <c r="M431" i="1"/>
  <c r="Q431" i="1"/>
  <c r="M447" i="1"/>
  <c r="O447" i="1" a="1"/>
  <c r="O447" i="1" s="1"/>
  <c r="M459" i="1"/>
  <c r="Q459" i="1"/>
  <c r="M467" i="1"/>
  <c r="Q467" i="1"/>
  <c r="M475" i="1"/>
  <c r="Q475" i="1"/>
  <c r="M483" i="1"/>
  <c r="Q483" i="1"/>
  <c r="M491" i="1"/>
  <c r="Q491" i="1"/>
  <c r="M499" i="1"/>
  <c r="Q499" i="1"/>
  <c r="M507" i="1"/>
  <c r="Q507" i="1"/>
  <c r="M515" i="1"/>
  <c r="Q515" i="1"/>
  <c r="M527" i="1"/>
  <c r="O527" i="1" a="1"/>
  <c r="O527" i="1" s="1"/>
  <c r="M543" i="1"/>
  <c r="Q543" i="1"/>
  <c r="M551" i="1"/>
  <c r="Q551" i="1"/>
  <c r="M559" i="1"/>
  <c r="Q559" i="1"/>
  <c r="M567" i="1"/>
  <c r="Q567" i="1"/>
  <c r="M575" i="1"/>
  <c r="Q575" i="1"/>
  <c r="M583" i="1"/>
  <c r="Q583" i="1"/>
  <c r="M591" i="1"/>
  <c r="Q591" i="1"/>
  <c r="M599" i="1"/>
  <c r="Q599" i="1"/>
  <c r="M607" i="1"/>
  <c r="Q607" i="1"/>
  <c r="M615" i="1"/>
  <c r="Q615" i="1"/>
  <c r="M623" i="1"/>
  <c r="Q623" i="1"/>
  <c r="M631" i="1"/>
  <c r="Q631" i="1"/>
  <c r="M639" i="1"/>
  <c r="Q639" i="1"/>
  <c r="M647" i="1"/>
  <c r="Q647" i="1"/>
  <c r="M655" i="1"/>
  <c r="Q655" i="1"/>
  <c r="M663" i="1"/>
  <c r="Q663" i="1"/>
  <c r="M671" i="1"/>
  <c r="Q671" i="1"/>
  <c r="M679" i="1"/>
  <c r="Q679" i="1"/>
  <c r="M687" i="1"/>
  <c r="Q687" i="1"/>
  <c r="M695" i="1"/>
  <c r="Q695" i="1"/>
  <c r="M703" i="1"/>
  <c r="Q703" i="1"/>
  <c r="M711" i="1"/>
  <c r="Q711" i="1"/>
  <c r="M719" i="1"/>
  <c r="Q719" i="1"/>
  <c r="M727" i="1"/>
  <c r="Q727" i="1"/>
  <c r="M735" i="1"/>
  <c r="Q735" i="1"/>
  <c r="M743" i="1"/>
  <c r="Q743" i="1"/>
  <c r="M751" i="1"/>
  <c r="Q751" i="1"/>
  <c r="M759" i="1"/>
  <c r="Q759" i="1"/>
  <c r="M767" i="1"/>
  <c r="Q767" i="1"/>
  <c r="M775" i="1"/>
  <c r="Q775" i="1"/>
  <c r="M783" i="1"/>
  <c r="Q783" i="1"/>
  <c r="M791" i="1"/>
  <c r="Q791" i="1"/>
  <c r="M799" i="1"/>
  <c r="Q799" i="1"/>
  <c r="M807" i="1"/>
  <c r="Q807" i="1"/>
  <c r="M815" i="1"/>
  <c r="Q815" i="1"/>
  <c r="M823" i="1"/>
  <c r="Q823" i="1"/>
  <c r="M831" i="1"/>
  <c r="Q831" i="1"/>
  <c r="M839" i="1"/>
  <c r="Q839" i="1"/>
  <c r="M847" i="1"/>
  <c r="Q847" i="1"/>
  <c r="M855" i="1"/>
  <c r="Q855" i="1"/>
  <c r="M863" i="1"/>
  <c r="Q863" i="1"/>
  <c r="M871" i="1"/>
  <c r="Q871" i="1"/>
  <c r="M879" i="1"/>
  <c r="Q879" i="1"/>
  <c r="M887" i="1"/>
  <c r="Q887" i="1"/>
  <c r="M895" i="1"/>
  <c r="Q895" i="1"/>
  <c r="M602" i="1"/>
  <c r="O602" i="1" a="1"/>
  <c r="O602" i="1" s="1"/>
  <c r="M634" i="1"/>
  <c r="O634" i="1" a="1"/>
  <c r="O634" i="1" s="1"/>
  <c r="M678" i="1"/>
  <c r="O678" i="1" a="1"/>
  <c r="O678" i="1" s="1"/>
  <c r="Q678" i="1"/>
  <c r="M694" i="1"/>
  <c r="O694" i="1" a="1"/>
  <c r="O694" i="1" s="1"/>
  <c r="Q694" i="1"/>
  <c r="M718" i="1"/>
  <c r="O718" i="1" a="1"/>
  <c r="O718" i="1" s="1"/>
  <c r="Q718" i="1"/>
  <c r="M738" i="1"/>
  <c r="O738" i="1" a="1"/>
  <c r="O738" i="1" s="1"/>
  <c r="Q738" i="1"/>
  <c r="M758" i="1"/>
  <c r="O758" i="1" a="1"/>
  <c r="O758" i="1" s="1"/>
  <c r="Q758" i="1"/>
  <c r="M806" i="1"/>
  <c r="O806" i="1" a="1"/>
  <c r="O806" i="1" s="1"/>
  <c r="Q806" i="1"/>
  <c r="M822" i="1"/>
  <c r="O822" i="1" a="1"/>
  <c r="O822" i="1" s="1"/>
  <c r="Q822" i="1"/>
  <c r="M870" i="1"/>
  <c r="O870" i="1" a="1"/>
  <c r="O870" i="1" s="1"/>
  <c r="Q870" i="1"/>
  <c r="M890" i="1"/>
  <c r="O890" i="1" a="1"/>
  <c r="O890" i="1" s="1"/>
  <c r="Q890" i="1"/>
  <c r="M519" i="1"/>
  <c r="O519" i="1" a="1"/>
  <c r="O519" i="1" s="1"/>
  <c r="M534" i="1"/>
  <c r="Q534" i="1"/>
  <c r="M546" i="1"/>
  <c r="Q546" i="1"/>
  <c r="M562" i="1"/>
  <c r="O562" i="1" a="1"/>
  <c r="O562" i="1" s="1"/>
  <c r="M578" i="1"/>
  <c r="Q578" i="1"/>
  <c r="M594" i="1"/>
  <c r="O594" i="1" a="1"/>
  <c r="O594" i="1" s="1"/>
  <c r="M614" i="1"/>
  <c r="O614" i="1" a="1"/>
  <c r="O614" i="1" s="1"/>
  <c r="M638" i="1"/>
  <c r="Q638" i="1"/>
  <c r="M658" i="1"/>
  <c r="O658" i="1" a="1"/>
  <c r="O658" i="1" s="1"/>
  <c r="Q658" i="1"/>
  <c r="M786" i="1"/>
  <c r="O786" i="1" a="1"/>
  <c r="O786" i="1" s="1"/>
  <c r="Q786" i="1"/>
  <c r="Q160" i="1"/>
  <c r="O740" i="1" a="1"/>
  <c r="O740" i="1" s="1"/>
  <c r="Q654" i="1"/>
  <c r="Q32" i="1"/>
  <c r="O140" i="1" a="1"/>
  <c r="O140" i="1" s="1"/>
  <c r="Q448" i="1"/>
  <c r="Q704" i="1"/>
  <c r="Q864" i="1"/>
  <c r="Q29" i="1"/>
  <c r="O37" i="1" a="1"/>
  <c r="O37" i="1" s="1"/>
  <c r="Q61" i="1"/>
  <c r="O69" i="1" a="1"/>
  <c r="O69" i="1" s="1"/>
  <c r="Q93" i="1"/>
  <c r="O101" i="1" a="1"/>
  <c r="O101" i="1" s="1"/>
  <c r="Q125" i="1"/>
  <c r="O133" i="1" a="1"/>
  <c r="O133" i="1" s="1"/>
  <c r="Q157" i="1"/>
  <c r="O165" i="1" a="1"/>
  <c r="O165" i="1" s="1"/>
  <c r="Q189" i="1"/>
  <c r="O197" i="1" a="1"/>
  <c r="O197" i="1" s="1"/>
  <c r="Q221" i="1"/>
  <c r="O229" i="1" a="1"/>
  <c r="O229" i="1" s="1"/>
  <c r="Q253" i="1"/>
  <c r="O261" i="1" a="1"/>
  <c r="O261" i="1" s="1"/>
  <c r="Q285" i="1"/>
  <c r="O293" i="1" a="1"/>
  <c r="O293" i="1" s="1"/>
  <c r="Q317" i="1"/>
  <c r="O325" i="1" a="1"/>
  <c r="O325" i="1" s="1"/>
  <c r="Q349" i="1"/>
  <c r="O357" i="1" a="1"/>
  <c r="O357" i="1" s="1"/>
  <c r="Q381" i="1"/>
  <c r="Q218" i="1"/>
  <c r="Q250" i="1"/>
  <c r="Q282" i="1"/>
  <c r="Q314" i="1"/>
  <c r="Q346" i="1"/>
  <c r="Q378" i="1"/>
  <c r="Q410" i="1"/>
  <c r="Q846" i="1"/>
  <c r="Q207" i="1"/>
  <c r="Q215" i="1"/>
  <c r="Q227" i="1"/>
  <c r="O251" i="1" a="1"/>
  <c r="O251" i="1" s="1"/>
  <c r="Q271" i="1"/>
  <c r="O291" i="1" a="1"/>
  <c r="O291" i="1" s="1"/>
  <c r="Q303" i="1"/>
  <c r="Q379" i="1"/>
  <c r="Q387" i="1"/>
  <c r="O483" i="1" a="1"/>
  <c r="O483" i="1" s="1"/>
  <c r="O515" i="1" a="1"/>
  <c r="O515" i="1" s="1"/>
  <c r="Q527" i="1"/>
  <c r="O551" i="1" a="1"/>
  <c r="O551" i="1" s="1"/>
  <c r="O583" i="1" a="1"/>
  <c r="O583" i="1" s="1"/>
  <c r="O615" i="1" a="1"/>
  <c r="O615" i="1" s="1"/>
  <c r="O647" i="1" a="1"/>
  <c r="O647" i="1" s="1"/>
  <c r="O679" i="1" a="1"/>
  <c r="O679" i="1" s="1"/>
  <c r="O711" i="1" a="1"/>
  <c r="O711" i="1" s="1"/>
  <c r="O743" i="1" a="1"/>
  <c r="O743" i="1" s="1"/>
  <c r="O775" i="1" a="1"/>
  <c r="O775" i="1" s="1"/>
  <c r="O807" i="1" a="1"/>
  <c r="O807" i="1" s="1"/>
  <c r="O839" i="1" a="1"/>
  <c r="O839" i="1" s="1"/>
  <c r="O871" i="1" a="1"/>
  <c r="O871" i="1" s="1"/>
  <c r="M34" i="1"/>
  <c r="Q13" i="1"/>
  <c r="O35" i="1" a="1"/>
  <c r="O35" i="1" s="1"/>
  <c r="O588" i="1" a="1"/>
  <c r="O588" i="1" s="1"/>
  <c r="O29" i="1" a="1"/>
  <c r="O29" i="1" s="1"/>
  <c r="Q53" i="1"/>
  <c r="O61" i="1" a="1"/>
  <c r="O61" i="1" s="1"/>
  <c r="Q85" i="1"/>
  <c r="O93" i="1" a="1"/>
  <c r="O93" i="1" s="1"/>
  <c r="Q117" i="1"/>
  <c r="O125" i="1" a="1"/>
  <c r="O125" i="1" s="1"/>
  <c r="Q149" i="1"/>
  <c r="O157" i="1" a="1"/>
  <c r="O157" i="1" s="1"/>
  <c r="Q181" i="1"/>
  <c r="O189" i="1" a="1"/>
  <c r="O189" i="1" s="1"/>
  <c r="Q213" i="1"/>
  <c r="O221" i="1" a="1"/>
  <c r="O221" i="1" s="1"/>
  <c r="Q245" i="1"/>
  <c r="O253" i="1" a="1"/>
  <c r="O253" i="1" s="1"/>
  <c r="Q277" i="1"/>
  <c r="O285" i="1" a="1"/>
  <c r="O285" i="1" s="1"/>
  <c r="Q309" i="1"/>
  <c r="O317" i="1" a="1"/>
  <c r="O317" i="1" s="1"/>
  <c r="Q341" i="1"/>
  <c r="O349" i="1" a="1"/>
  <c r="O349" i="1" s="1"/>
  <c r="Q373" i="1"/>
  <c r="O381" i="1" a="1"/>
  <c r="O381" i="1" s="1"/>
  <c r="Q210" i="1"/>
  <c r="Q242" i="1"/>
  <c r="Q274" i="1"/>
  <c r="Q306" i="1"/>
  <c r="Q338" i="1"/>
  <c r="Q370" i="1"/>
  <c r="Q402" i="1"/>
  <c r="Q434" i="1"/>
  <c r="Q634" i="1"/>
  <c r="O846" i="1" a="1"/>
  <c r="O846" i="1" s="1"/>
  <c r="O207" i="1" a="1"/>
  <c r="O207" i="1" s="1"/>
  <c r="Q219" i="1"/>
  <c r="O239" i="1" a="1"/>
  <c r="O239" i="1" s="1"/>
  <c r="O283" i="1" a="1"/>
  <c r="O283" i="1" s="1"/>
  <c r="Q295" i="1"/>
  <c r="O379" i="1" a="1"/>
  <c r="O379" i="1" s="1"/>
  <c r="O387" i="1" a="1"/>
  <c r="O387" i="1" s="1"/>
  <c r="O431" i="1" a="1"/>
  <c r="O431" i="1" s="1"/>
  <c r="O475" i="1" a="1"/>
  <c r="O475" i="1" s="1"/>
  <c r="O507" i="1" a="1"/>
  <c r="O507" i="1" s="1"/>
  <c r="Q519" i="1"/>
  <c r="O543" i="1" a="1"/>
  <c r="O543" i="1" s="1"/>
  <c r="O575" i="1" a="1"/>
  <c r="O575" i="1" s="1"/>
  <c r="O607" i="1" a="1"/>
  <c r="O607" i="1" s="1"/>
  <c r="O639" i="1" a="1"/>
  <c r="O639" i="1" s="1"/>
  <c r="O671" i="1" a="1"/>
  <c r="O671" i="1" s="1"/>
  <c r="O703" i="1" a="1"/>
  <c r="O703" i="1" s="1"/>
  <c r="O735" i="1" a="1"/>
  <c r="O735" i="1" s="1"/>
  <c r="O767" i="1" a="1"/>
  <c r="O767" i="1" s="1"/>
  <c r="O799" i="1" a="1"/>
  <c r="O799" i="1" s="1"/>
  <c r="O831" i="1" a="1"/>
  <c r="O831" i="1" s="1"/>
  <c r="O863" i="1" a="1"/>
  <c r="O863" i="1" s="1"/>
  <c r="O895" i="1" a="1"/>
  <c r="O895" i="1" s="1"/>
  <c r="O151" i="1" a="1"/>
  <c r="O151" i="1" s="1"/>
  <c r="M198" i="1"/>
  <c r="M166" i="1"/>
  <c r="M110" i="1"/>
  <c r="M54" i="1"/>
  <c r="Q24" i="1"/>
  <c r="O44" i="1" a="1"/>
  <c r="O44" i="1" s="1"/>
  <c r="Q64" i="1"/>
  <c r="O84" i="1" a="1"/>
  <c r="O84" i="1" s="1"/>
  <c r="O172" i="1" a="1"/>
  <c r="O172" i="1" s="1"/>
  <c r="Q192" i="1"/>
  <c r="O220" i="1" a="1"/>
  <c r="O220" i="1" s="1"/>
  <c r="Q240" i="1"/>
  <c r="O260" i="1" a="1"/>
  <c r="O260" i="1" s="1"/>
  <c r="Q384" i="1"/>
  <c r="O27" i="1" a="1"/>
  <c r="O27" i="1" s="1"/>
  <c r="O484" i="1" a="1"/>
  <c r="O484" i="1" s="1"/>
  <c r="Q608" i="1"/>
  <c r="O644" i="1" a="1"/>
  <c r="O644" i="1" s="1"/>
  <c r="Q760" i="1"/>
  <c r="Q808" i="1"/>
  <c r="Q590" i="1"/>
  <c r="Q646" i="1"/>
  <c r="Q710" i="1"/>
  <c r="Q830" i="1"/>
  <c r="Q407" i="1"/>
  <c r="O116" i="1" a="1"/>
  <c r="O116" i="1" s="1"/>
  <c r="O252" i="1" a="1"/>
  <c r="O252" i="1" s="1"/>
  <c r="O292" i="1" a="1"/>
  <c r="O292" i="1" s="1"/>
  <c r="Q352" i="1"/>
  <c r="O628" i="1" a="1"/>
  <c r="O628" i="1" s="1"/>
  <c r="Q664" i="1"/>
  <c r="O780" i="1" a="1"/>
  <c r="O780" i="1" s="1"/>
  <c r="Q574" i="1"/>
  <c r="Q630" i="1"/>
  <c r="Q702" i="1"/>
  <c r="Q750" i="1"/>
  <c r="Q311" i="1"/>
  <c r="Q359" i="1"/>
  <c r="Q535" i="1"/>
  <c r="M159" i="1"/>
  <c r="M150" i="1"/>
  <c r="M86" i="1"/>
  <c r="M6" i="1"/>
  <c r="Q16" i="1"/>
  <c r="O76" i="1" a="1"/>
  <c r="O76" i="1" s="1"/>
  <c r="Q96" i="1"/>
  <c r="O204" i="1" a="1"/>
  <c r="O204" i="1" s="1"/>
  <c r="Q272" i="1"/>
  <c r="Q3" i="1"/>
  <c r="O108" i="1" a="1"/>
  <c r="O108" i="1" s="1"/>
  <c r="Q128" i="1"/>
  <c r="O148" i="1" a="1"/>
  <c r="O148" i="1" s="1"/>
  <c r="O284" i="1" a="1"/>
  <c r="O284" i="1" s="1"/>
  <c r="Q304" i="1"/>
  <c r="O436" i="1" a="1"/>
  <c r="O436" i="1" s="1"/>
  <c r="O532" i="1" a="1"/>
  <c r="O532" i="1" s="1"/>
  <c r="Q568" i="1"/>
  <c r="O684" i="1" a="1"/>
  <c r="O684" i="1" s="1"/>
  <c r="Q720" i="1"/>
  <c r="Q880" i="1"/>
  <c r="Q21" i="1"/>
  <c r="Q558" i="1"/>
  <c r="Q670" i="1"/>
  <c r="Q247" i="1"/>
  <c r="Q439" i="1"/>
  <c r="M8" i="1"/>
  <c r="O8" i="1" a="1"/>
  <c r="O8" i="1" s="1"/>
  <c r="Q8" i="1"/>
  <c r="O16" i="1" a="1"/>
  <c r="O16" i="1" s="1"/>
  <c r="O24" i="1" a="1"/>
  <c r="O24" i="1" s="1"/>
  <c r="O32" i="1" a="1"/>
  <c r="O32" i="1" s="1"/>
  <c r="O240" i="1" a="1"/>
  <c r="O240" i="1" s="1"/>
  <c r="O352" i="1" a="1"/>
  <c r="O352" i="1" s="1"/>
  <c r="O15" i="1" a="1"/>
  <c r="O15" i="1" s="1"/>
  <c r="O608" i="1" a="1"/>
  <c r="O608" i="1" s="1"/>
  <c r="O664" i="1" a="1"/>
  <c r="O664" i="1" s="1"/>
  <c r="O704" i="1" a="1"/>
  <c r="O704" i="1" s="1"/>
  <c r="O720" i="1" a="1"/>
  <c r="O720" i="1" s="1"/>
  <c r="O760" i="1" a="1"/>
  <c r="O760" i="1" s="1"/>
  <c r="O808" i="1" a="1"/>
  <c r="O808" i="1" s="1"/>
  <c r="O590" i="1" a="1"/>
  <c r="O590" i="1" s="1"/>
  <c r="O670" i="1" a="1"/>
  <c r="O670" i="1" s="1"/>
  <c r="O830" i="1" a="1"/>
  <c r="O830" i="1" s="1"/>
  <c r="O247" i="1" a="1"/>
  <c r="O247" i="1" s="1"/>
  <c r="O359" i="1" a="1"/>
  <c r="O359" i="1" s="1"/>
  <c r="O423" i="1" a="1"/>
  <c r="O423" i="1" s="1"/>
  <c r="O535" i="1" a="1"/>
  <c r="O535" i="1" s="1"/>
  <c r="M103" i="1"/>
  <c r="M3" i="1"/>
  <c r="M18" i="1"/>
  <c r="O18" i="1" a="1"/>
  <c r="O18" i="1" s="1"/>
  <c r="O64" i="1" a="1"/>
  <c r="O64" i="1" s="1"/>
  <c r="O96" i="1" a="1"/>
  <c r="O96" i="1" s="1"/>
  <c r="O128" i="1" a="1"/>
  <c r="O128" i="1" s="1"/>
  <c r="O160" i="1" a="1"/>
  <c r="O160" i="1" s="1"/>
  <c r="O192" i="1" a="1"/>
  <c r="O192" i="1" s="1"/>
  <c r="O272" i="1" a="1"/>
  <c r="O272" i="1" s="1"/>
  <c r="O304" i="1" a="1"/>
  <c r="O304" i="1" s="1"/>
  <c r="O384" i="1" a="1"/>
  <c r="O384" i="1" s="1"/>
  <c r="O448" i="1" a="1"/>
  <c r="O448" i="1" s="1"/>
  <c r="O552" i="1" a="1"/>
  <c r="O552" i="1" s="1"/>
  <c r="O568" i="1" a="1"/>
  <c r="O568" i="1" s="1"/>
  <c r="O864" i="1" a="1"/>
  <c r="O864" i="1" s="1"/>
  <c r="O880" i="1" a="1"/>
  <c r="O880" i="1" s="1"/>
  <c r="O13" i="1" a="1"/>
  <c r="O13" i="1" s="1"/>
  <c r="O21" i="1" a="1"/>
  <c r="O21" i="1" s="1"/>
  <c r="O558" i="1" a="1"/>
  <c r="O558" i="1" s="1"/>
  <c r="O574" i="1" a="1"/>
  <c r="O574" i="1" s="1"/>
  <c r="O630" i="1" a="1"/>
  <c r="O630" i="1" s="1"/>
  <c r="O646" i="1" a="1"/>
  <c r="O646" i="1" s="1"/>
  <c r="O654" i="1" a="1"/>
  <c r="O654" i="1" s="1"/>
  <c r="O702" i="1" a="1"/>
  <c r="O702" i="1" s="1"/>
  <c r="O710" i="1" a="1"/>
  <c r="O710" i="1" s="1"/>
  <c r="O750" i="1" a="1"/>
  <c r="O750" i="1" s="1"/>
  <c r="O215" i="1" a="1"/>
  <c r="O215" i="1" s="1"/>
  <c r="O407" i="1" a="1"/>
  <c r="O407" i="1" s="1"/>
  <c r="O439" i="1" a="1"/>
  <c r="O439" i="1" s="1"/>
  <c r="Q5" i="1"/>
  <c r="Q44" i="1"/>
  <c r="Q52" i="1"/>
  <c r="Q76" i="1"/>
  <c r="Q84" i="1"/>
  <c r="Q108" i="1"/>
  <c r="Q116" i="1"/>
  <c r="Q140" i="1"/>
  <c r="Q148" i="1"/>
  <c r="Q172" i="1"/>
  <c r="Q180" i="1"/>
  <c r="Q204" i="1"/>
  <c r="Q220" i="1"/>
  <c r="Q228" i="1"/>
  <c r="Q252" i="1"/>
  <c r="Q260" i="1"/>
  <c r="Q284" i="1"/>
  <c r="Q292" i="1"/>
  <c r="Q27" i="1"/>
  <c r="Q35" i="1"/>
  <c r="Q436" i="1"/>
  <c r="Q484" i="1"/>
  <c r="Q500" i="1"/>
  <c r="Q532" i="1"/>
  <c r="Q588" i="1"/>
  <c r="Q628" i="1"/>
  <c r="Q644" i="1"/>
  <c r="Q684" i="1"/>
  <c r="Q740" i="1"/>
  <c r="Q780" i="1"/>
  <c r="Q796" i="1"/>
  <c r="Q828" i="1"/>
  <c r="Q844" i="1"/>
  <c r="Q900" i="1"/>
  <c r="Q33" i="1"/>
  <c r="Q41" i="1"/>
  <c r="Q49" i="1"/>
  <c r="Q57" i="1"/>
  <c r="Q65" i="1"/>
  <c r="Q73" i="1"/>
  <c r="Q81" i="1"/>
  <c r="Q89" i="1"/>
  <c r="Q97" i="1"/>
  <c r="Q105" i="1"/>
  <c r="Q113" i="1"/>
  <c r="Q121" i="1"/>
  <c r="Q129" i="1"/>
  <c r="Q137" i="1"/>
  <c r="Q145" i="1"/>
  <c r="Q153" i="1"/>
  <c r="Q161" i="1"/>
  <c r="Q169" i="1"/>
  <c r="Q177" i="1"/>
  <c r="Q185" i="1"/>
  <c r="Q193" i="1"/>
  <c r="Q201" i="1"/>
  <c r="Q209" i="1"/>
  <c r="Q217" i="1"/>
  <c r="Q225" i="1"/>
  <c r="Q233" i="1"/>
  <c r="Q241" i="1"/>
  <c r="Q249" i="1"/>
  <c r="Q257" i="1"/>
  <c r="Q265" i="1"/>
  <c r="Q273" i="1"/>
  <c r="Q281" i="1"/>
  <c r="Q289" i="1"/>
  <c r="Q297" i="1"/>
  <c r="Q305" i="1"/>
  <c r="Q313" i="1"/>
  <c r="Q321" i="1"/>
  <c r="Q329" i="1"/>
  <c r="Q337" i="1"/>
  <c r="Q345" i="1"/>
  <c r="Q353" i="1"/>
  <c r="Q361" i="1"/>
  <c r="Q369" i="1"/>
  <c r="Q377" i="1"/>
  <c r="Q385" i="1"/>
  <c r="Q538" i="1"/>
  <c r="Q610" i="1"/>
  <c r="Q722" i="1"/>
  <c r="Q778" i="1"/>
  <c r="Q802" i="1"/>
  <c r="Q850" i="1"/>
  <c r="Q874" i="1"/>
  <c r="M4" i="1"/>
  <c r="O4" i="1" a="1"/>
  <c r="O4" i="1" s="1"/>
  <c r="O796" i="1" a="1"/>
  <c r="O796" i="1" s="1"/>
  <c r="O828" i="1" a="1"/>
  <c r="O828" i="1" s="1"/>
  <c r="O844" i="1" a="1"/>
  <c r="O844" i="1" s="1"/>
  <c r="O900" i="1" a="1"/>
  <c r="O900" i="1" s="1"/>
  <c r="O538" i="1" a="1"/>
  <c r="O538" i="1" s="1"/>
  <c r="O610" i="1" a="1"/>
  <c r="O610" i="1" s="1"/>
  <c r="O722" i="1" a="1"/>
  <c r="O722" i="1" s="1"/>
  <c r="O778" i="1" a="1"/>
  <c r="O778" i="1" s="1"/>
  <c r="O802" i="1" a="1"/>
  <c r="O802" i="1" s="1"/>
  <c r="O850" i="1" a="1"/>
  <c r="O850" i="1" s="1"/>
  <c r="O874" i="1" a="1"/>
  <c r="O874" i="1" s="1"/>
  <c r="M63" i="1"/>
  <c r="O63" i="1" a="1"/>
  <c r="O63" i="1" s="1"/>
  <c r="M127" i="1"/>
  <c r="O127" i="1" a="1"/>
  <c r="O127" i="1" s="1"/>
  <c r="M191" i="1"/>
  <c r="O191" i="1" a="1"/>
  <c r="O19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<sst xmlns="http://schemas.openxmlformats.org/spreadsheetml/2006/main" count="4573" uniqueCount="965">
  <si>
    <t>ARID</t>
  </si>
  <si>
    <t>Customer</t>
  </si>
  <si>
    <t>Amount</t>
  </si>
  <si>
    <t>Currency</t>
  </si>
  <si>
    <t>Status</t>
  </si>
  <si>
    <t>Terms</t>
  </si>
  <si>
    <t>AR20000</t>
  </si>
  <si>
    <t>AR20001</t>
  </si>
  <si>
    <t>AR20002</t>
  </si>
  <si>
    <t>AR20003</t>
  </si>
  <si>
    <t>AR20004</t>
  </si>
  <si>
    <t>AR20005</t>
  </si>
  <si>
    <t>AR20006</t>
  </si>
  <si>
    <t>AR20007</t>
  </si>
  <si>
    <t>AR20008</t>
  </si>
  <si>
    <t>AR20009</t>
  </si>
  <si>
    <t>AR20010</t>
  </si>
  <si>
    <t>AR20011</t>
  </si>
  <si>
    <t>AR20012</t>
  </si>
  <si>
    <t>AR20013</t>
  </si>
  <si>
    <t>AR20014</t>
  </si>
  <si>
    <t>AR20015</t>
  </si>
  <si>
    <t>AR20016</t>
  </si>
  <si>
    <t>AR20017</t>
  </si>
  <si>
    <t>AR20018</t>
  </si>
  <si>
    <t>AR20019</t>
  </si>
  <si>
    <t>AR20020</t>
  </si>
  <si>
    <t>AR20021</t>
  </si>
  <si>
    <t>AR20022</t>
  </si>
  <si>
    <t>AR20023</t>
  </si>
  <si>
    <t>AR20024</t>
  </si>
  <si>
    <t>AR20025</t>
  </si>
  <si>
    <t>AR20026</t>
  </si>
  <si>
    <t>AR20027</t>
  </si>
  <si>
    <t>AR20028</t>
  </si>
  <si>
    <t>AR20029</t>
  </si>
  <si>
    <t>AR20030</t>
  </si>
  <si>
    <t>AR20031</t>
  </si>
  <si>
    <t>AR20032</t>
  </si>
  <si>
    <t>AR20033</t>
  </si>
  <si>
    <t>AR20034</t>
  </si>
  <si>
    <t>AR20035</t>
  </si>
  <si>
    <t>AR20036</t>
  </si>
  <si>
    <t>AR20037</t>
  </si>
  <si>
    <t>AR20038</t>
  </si>
  <si>
    <t>AR20039</t>
  </si>
  <si>
    <t>AR20040</t>
  </si>
  <si>
    <t>AR20041</t>
  </si>
  <si>
    <t>AR20042</t>
  </si>
  <si>
    <t>AR20043</t>
  </si>
  <si>
    <t>AR20044</t>
  </si>
  <si>
    <t>AR20045</t>
  </si>
  <si>
    <t>AR20046</t>
  </si>
  <si>
    <t>AR20047</t>
  </si>
  <si>
    <t>AR20048</t>
  </si>
  <si>
    <t>AR20049</t>
  </si>
  <si>
    <t>AR20050</t>
  </si>
  <si>
    <t>AR20051</t>
  </si>
  <si>
    <t>AR20052</t>
  </si>
  <si>
    <t>AR20053</t>
  </si>
  <si>
    <t>AR20054</t>
  </si>
  <si>
    <t>AR20055</t>
  </si>
  <si>
    <t>AR20056</t>
  </si>
  <si>
    <t>AR20057</t>
  </si>
  <si>
    <t>AR20058</t>
  </si>
  <si>
    <t>AR20059</t>
  </si>
  <si>
    <t>AR20060</t>
  </si>
  <si>
    <t>AR20061</t>
  </si>
  <si>
    <t>AR20062</t>
  </si>
  <si>
    <t>AR20063</t>
  </si>
  <si>
    <t>AR20064</t>
  </si>
  <si>
    <t>AR20065</t>
  </si>
  <si>
    <t>AR20066</t>
  </si>
  <si>
    <t>AR20067</t>
  </si>
  <si>
    <t>AR20068</t>
  </si>
  <si>
    <t>AR20069</t>
  </si>
  <si>
    <t>AR20070</t>
  </si>
  <si>
    <t>AR20071</t>
  </si>
  <si>
    <t>AR20072</t>
  </si>
  <si>
    <t>AR20073</t>
  </si>
  <si>
    <t>AR20074</t>
  </si>
  <si>
    <t>AR20075</t>
  </si>
  <si>
    <t>AR20076</t>
  </si>
  <si>
    <t>AR20077</t>
  </si>
  <si>
    <t>AR20078</t>
  </si>
  <si>
    <t>AR20079</t>
  </si>
  <si>
    <t>AR20080</t>
  </si>
  <si>
    <t>AR20081</t>
  </si>
  <si>
    <t>AR20082</t>
  </si>
  <si>
    <t>AR20083</t>
  </si>
  <si>
    <t>AR20084</t>
  </si>
  <si>
    <t>AR20085</t>
  </si>
  <si>
    <t>AR20086</t>
  </si>
  <si>
    <t>AR20087</t>
  </si>
  <si>
    <t>AR20088</t>
  </si>
  <si>
    <t>AR20089</t>
  </si>
  <si>
    <t>AR20090</t>
  </si>
  <si>
    <t>AR20091</t>
  </si>
  <si>
    <t>AR20092</t>
  </si>
  <si>
    <t>AR20093</t>
  </si>
  <si>
    <t>AR20094</t>
  </si>
  <si>
    <t>AR20095</t>
  </si>
  <si>
    <t>AR20096</t>
  </si>
  <si>
    <t>AR20097</t>
  </si>
  <si>
    <t>AR20098</t>
  </si>
  <si>
    <t>AR20099</t>
  </si>
  <si>
    <t>AR20100</t>
  </si>
  <si>
    <t>AR20101</t>
  </si>
  <si>
    <t>AR20102</t>
  </si>
  <si>
    <t>AR20103</t>
  </si>
  <si>
    <t>AR20104</t>
  </si>
  <si>
    <t>AR20105</t>
  </si>
  <si>
    <t>AR20106</t>
  </si>
  <si>
    <t>AR20107</t>
  </si>
  <si>
    <t>AR20108</t>
  </si>
  <si>
    <t>AR20109</t>
  </si>
  <si>
    <t>AR20110</t>
  </si>
  <si>
    <t>AR20111</t>
  </si>
  <si>
    <t>AR20112</t>
  </si>
  <si>
    <t>AR20113</t>
  </si>
  <si>
    <t>AR20114</t>
  </si>
  <si>
    <t>AR20115</t>
  </si>
  <si>
    <t>AR20116</t>
  </si>
  <si>
    <t>AR20117</t>
  </si>
  <si>
    <t>AR20118</t>
  </si>
  <si>
    <t>AR20119</t>
  </si>
  <si>
    <t>AR20120</t>
  </si>
  <si>
    <t>AR20121</t>
  </si>
  <si>
    <t>AR20122</t>
  </si>
  <si>
    <t>AR20123</t>
  </si>
  <si>
    <t>AR20124</t>
  </si>
  <si>
    <t>AR20125</t>
  </si>
  <si>
    <t>AR20126</t>
  </si>
  <si>
    <t>AR20127</t>
  </si>
  <si>
    <t>AR20128</t>
  </si>
  <si>
    <t>AR20129</t>
  </si>
  <si>
    <t>AR20130</t>
  </si>
  <si>
    <t>AR20131</t>
  </si>
  <si>
    <t>AR20132</t>
  </si>
  <si>
    <t>AR20133</t>
  </si>
  <si>
    <t>AR20134</t>
  </si>
  <si>
    <t>AR20135</t>
  </si>
  <si>
    <t>AR20136</t>
  </si>
  <si>
    <t>AR20137</t>
  </si>
  <si>
    <t>AR20138</t>
  </si>
  <si>
    <t>AR20139</t>
  </si>
  <si>
    <t>AR20140</t>
  </si>
  <si>
    <t>AR20141</t>
  </si>
  <si>
    <t>AR20142</t>
  </si>
  <si>
    <t>AR20143</t>
  </si>
  <si>
    <t>AR20144</t>
  </si>
  <si>
    <t>AR20145</t>
  </si>
  <si>
    <t>AR20146</t>
  </si>
  <si>
    <t>AR20147</t>
  </si>
  <si>
    <t>AR20148</t>
  </si>
  <si>
    <t>AR20149</t>
  </si>
  <si>
    <t>AR20150</t>
  </si>
  <si>
    <t>AR20151</t>
  </si>
  <si>
    <t>AR20152</t>
  </si>
  <si>
    <t>AR20153</t>
  </si>
  <si>
    <t>AR20154</t>
  </si>
  <si>
    <t>AR20155</t>
  </si>
  <si>
    <t>AR20156</t>
  </si>
  <si>
    <t>AR20157</t>
  </si>
  <si>
    <t>AR20158</t>
  </si>
  <si>
    <t>AR20159</t>
  </si>
  <si>
    <t>AR20160</t>
  </si>
  <si>
    <t>AR20161</t>
  </si>
  <si>
    <t>AR20162</t>
  </si>
  <si>
    <t>AR20163</t>
  </si>
  <si>
    <t>AR20164</t>
  </si>
  <si>
    <t>AR20165</t>
  </si>
  <si>
    <t>AR20166</t>
  </si>
  <si>
    <t>AR20167</t>
  </si>
  <si>
    <t>AR20168</t>
  </si>
  <si>
    <t>AR20169</t>
  </si>
  <si>
    <t>AR20170</t>
  </si>
  <si>
    <t>AR20171</t>
  </si>
  <si>
    <t>AR20172</t>
  </si>
  <si>
    <t>AR20173</t>
  </si>
  <si>
    <t>AR20174</t>
  </si>
  <si>
    <t>AR20175</t>
  </si>
  <si>
    <t>AR20176</t>
  </si>
  <si>
    <t>AR20177</t>
  </si>
  <si>
    <t>AR20178</t>
  </si>
  <si>
    <t>AR20179</t>
  </si>
  <si>
    <t>AR20180</t>
  </si>
  <si>
    <t>AR20181</t>
  </si>
  <si>
    <t>AR20182</t>
  </si>
  <si>
    <t>AR20183</t>
  </si>
  <si>
    <t>AR20184</t>
  </si>
  <si>
    <t>AR20185</t>
  </si>
  <si>
    <t>AR20186</t>
  </si>
  <si>
    <t>AR20187</t>
  </si>
  <si>
    <t>AR20188</t>
  </si>
  <si>
    <t>AR20189</t>
  </si>
  <si>
    <t>AR20190</t>
  </si>
  <si>
    <t>AR20191</t>
  </si>
  <si>
    <t>AR20192</t>
  </si>
  <si>
    <t>AR20193</t>
  </si>
  <si>
    <t>AR20194</t>
  </si>
  <si>
    <t>AR20195</t>
  </si>
  <si>
    <t>AR20196</t>
  </si>
  <si>
    <t>AR20197</t>
  </si>
  <si>
    <t>AR20198</t>
  </si>
  <si>
    <t>AR20199</t>
  </si>
  <si>
    <t>AR20200</t>
  </si>
  <si>
    <t>AR20201</t>
  </si>
  <si>
    <t>AR20202</t>
  </si>
  <si>
    <t>AR20203</t>
  </si>
  <si>
    <t>AR20204</t>
  </si>
  <si>
    <t>AR20205</t>
  </si>
  <si>
    <t>AR20206</t>
  </si>
  <si>
    <t>AR20207</t>
  </si>
  <si>
    <t>AR20208</t>
  </si>
  <si>
    <t>AR20209</t>
  </si>
  <si>
    <t>AR20210</t>
  </si>
  <si>
    <t>AR20211</t>
  </si>
  <si>
    <t>AR20212</t>
  </si>
  <si>
    <t>AR20213</t>
  </si>
  <si>
    <t>AR20214</t>
  </si>
  <si>
    <t>AR20215</t>
  </si>
  <si>
    <t>AR20216</t>
  </si>
  <si>
    <t>AR20217</t>
  </si>
  <si>
    <t>AR20218</t>
  </si>
  <si>
    <t>AR20219</t>
  </si>
  <si>
    <t>AR20220</t>
  </si>
  <si>
    <t>AR20221</t>
  </si>
  <si>
    <t>AR20222</t>
  </si>
  <si>
    <t>AR20223</t>
  </si>
  <si>
    <t>AR20224</t>
  </si>
  <si>
    <t>AR20225</t>
  </si>
  <si>
    <t>AR20226</t>
  </si>
  <si>
    <t>AR20227</t>
  </si>
  <si>
    <t>AR20228</t>
  </si>
  <si>
    <t>AR20229</t>
  </si>
  <si>
    <t>AR20230</t>
  </si>
  <si>
    <t>AR20231</t>
  </si>
  <si>
    <t>AR20232</t>
  </si>
  <si>
    <t>AR20233</t>
  </si>
  <si>
    <t>AR20234</t>
  </si>
  <si>
    <t>AR20235</t>
  </si>
  <si>
    <t>AR20236</t>
  </si>
  <si>
    <t>AR20237</t>
  </si>
  <si>
    <t>AR20238</t>
  </si>
  <si>
    <t>AR20239</t>
  </si>
  <si>
    <t>AR20240</t>
  </si>
  <si>
    <t>AR20241</t>
  </si>
  <si>
    <t>AR20242</t>
  </si>
  <si>
    <t>AR20243</t>
  </si>
  <si>
    <t>AR20244</t>
  </si>
  <si>
    <t>AR20245</t>
  </si>
  <si>
    <t>AR20246</t>
  </si>
  <si>
    <t>AR20247</t>
  </si>
  <si>
    <t>AR20248</t>
  </si>
  <si>
    <t>AR20249</t>
  </si>
  <si>
    <t>AR20250</t>
  </si>
  <si>
    <t>AR20251</t>
  </si>
  <si>
    <t>AR20252</t>
  </si>
  <si>
    <t>AR20253</t>
  </si>
  <si>
    <t>AR20254</t>
  </si>
  <si>
    <t>AR20255</t>
  </si>
  <si>
    <t>AR20256</t>
  </si>
  <si>
    <t>AR20257</t>
  </si>
  <si>
    <t>AR20258</t>
  </si>
  <si>
    <t>AR20259</t>
  </si>
  <si>
    <t>AR20260</t>
  </si>
  <si>
    <t>AR20261</t>
  </si>
  <si>
    <t>AR20262</t>
  </si>
  <si>
    <t>AR20263</t>
  </si>
  <si>
    <t>AR20264</t>
  </si>
  <si>
    <t>AR20265</t>
  </si>
  <si>
    <t>AR20266</t>
  </si>
  <si>
    <t>AR20267</t>
  </si>
  <si>
    <t>AR20268</t>
  </si>
  <si>
    <t>AR20269</t>
  </si>
  <si>
    <t>AR20270</t>
  </si>
  <si>
    <t>AR20271</t>
  </si>
  <si>
    <t>AR20272</t>
  </si>
  <si>
    <t>AR20273</t>
  </si>
  <si>
    <t>AR20274</t>
  </si>
  <si>
    <t>AR20275</t>
  </si>
  <si>
    <t>AR20276</t>
  </si>
  <si>
    <t>AR20277</t>
  </si>
  <si>
    <t>AR20278</t>
  </si>
  <si>
    <t>AR20279</t>
  </si>
  <si>
    <t>AR20280</t>
  </si>
  <si>
    <t>AR20281</t>
  </si>
  <si>
    <t>AR20282</t>
  </si>
  <si>
    <t>AR20283</t>
  </si>
  <si>
    <t>AR20284</t>
  </si>
  <si>
    <t>AR20285</t>
  </si>
  <si>
    <t>AR20286</t>
  </si>
  <si>
    <t>AR20287</t>
  </si>
  <si>
    <t>AR20288</t>
  </si>
  <si>
    <t>AR20289</t>
  </si>
  <si>
    <t>AR20290</t>
  </si>
  <si>
    <t>AR20291</t>
  </si>
  <si>
    <t>AR20292</t>
  </si>
  <si>
    <t>AR20293</t>
  </si>
  <si>
    <t>AR20294</t>
  </si>
  <si>
    <t>AR20295</t>
  </si>
  <si>
    <t>AR20296</t>
  </si>
  <si>
    <t>AR20297</t>
  </si>
  <si>
    <t>AR20298</t>
  </si>
  <si>
    <t>AR20299</t>
  </si>
  <si>
    <t>AR20300</t>
  </si>
  <si>
    <t>AR20301</t>
  </si>
  <si>
    <t>AR20302</t>
  </si>
  <si>
    <t>AR20303</t>
  </si>
  <si>
    <t>AR20304</t>
  </si>
  <si>
    <t>AR20305</t>
  </si>
  <si>
    <t>AR20306</t>
  </si>
  <si>
    <t>AR20307</t>
  </si>
  <si>
    <t>AR20308</t>
  </si>
  <si>
    <t>AR20309</t>
  </si>
  <si>
    <t>AR20310</t>
  </si>
  <si>
    <t>AR20311</t>
  </si>
  <si>
    <t>AR20312</t>
  </si>
  <si>
    <t>AR20313</t>
  </si>
  <si>
    <t>AR20314</t>
  </si>
  <si>
    <t>AR20315</t>
  </si>
  <si>
    <t>AR20316</t>
  </si>
  <si>
    <t>AR20317</t>
  </si>
  <si>
    <t>AR20318</t>
  </si>
  <si>
    <t>AR20319</t>
  </si>
  <si>
    <t>AR20320</t>
  </si>
  <si>
    <t>AR20321</t>
  </si>
  <si>
    <t>AR20322</t>
  </si>
  <si>
    <t>AR20323</t>
  </si>
  <si>
    <t>AR20324</t>
  </si>
  <si>
    <t>AR20325</t>
  </si>
  <si>
    <t>AR20326</t>
  </si>
  <si>
    <t>AR20327</t>
  </si>
  <si>
    <t>AR20328</t>
  </si>
  <si>
    <t>AR20329</t>
  </si>
  <si>
    <t>AR20330</t>
  </si>
  <si>
    <t>AR20331</t>
  </si>
  <si>
    <t>AR20332</t>
  </si>
  <si>
    <t>AR20333</t>
  </si>
  <si>
    <t>AR20334</t>
  </si>
  <si>
    <t>AR20335</t>
  </si>
  <si>
    <t>AR20336</t>
  </si>
  <si>
    <t>AR20337</t>
  </si>
  <si>
    <t>AR20338</t>
  </si>
  <si>
    <t>AR20339</t>
  </si>
  <si>
    <t>AR20340</t>
  </si>
  <si>
    <t>AR20341</t>
  </si>
  <si>
    <t>AR20342</t>
  </si>
  <si>
    <t>AR20343</t>
  </si>
  <si>
    <t>AR20344</t>
  </si>
  <si>
    <t>AR20345</t>
  </si>
  <si>
    <t>AR20346</t>
  </si>
  <si>
    <t>AR20347</t>
  </si>
  <si>
    <t>AR20348</t>
  </si>
  <si>
    <t>AR20349</t>
  </si>
  <si>
    <t>AR20350</t>
  </si>
  <si>
    <t>AR20351</t>
  </si>
  <si>
    <t>AR20352</t>
  </si>
  <si>
    <t>AR20353</t>
  </si>
  <si>
    <t>AR20354</t>
  </si>
  <si>
    <t>AR20355</t>
  </si>
  <si>
    <t>AR20356</t>
  </si>
  <si>
    <t>AR20357</t>
  </si>
  <si>
    <t>AR20358</t>
  </si>
  <si>
    <t>AR20359</t>
  </si>
  <si>
    <t>AR20360</t>
  </si>
  <si>
    <t>AR20361</t>
  </si>
  <si>
    <t>AR20362</t>
  </si>
  <si>
    <t>AR20363</t>
  </si>
  <si>
    <t>AR20364</t>
  </si>
  <si>
    <t>AR20365</t>
  </si>
  <si>
    <t>AR20366</t>
  </si>
  <si>
    <t>AR20367</t>
  </si>
  <si>
    <t>AR20368</t>
  </si>
  <si>
    <t>AR20369</t>
  </si>
  <si>
    <t>AR20370</t>
  </si>
  <si>
    <t>AR20371</t>
  </si>
  <si>
    <t>AR20372</t>
  </si>
  <si>
    <t>AR20373</t>
  </si>
  <si>
    <t>AR20374</t>
  </si>
  <si>
    <t>AR20375</t>
  </si>
  <si>
    <t>AR20376</t>
  </si>
  <si>
    <t>AR20377</t>
  </si>
  <si>
    <t>AR20378</t>
  </si>
  <si>
    <t>AR20379</t>
  </si>
  <si>
    <t>AR20380</t>
  </si>
  <si>
    <t>AR20381</t>
  </si>
  <si>
    <t>AR20382</t>
  </si>
  <si>
    <t>AR20383</t>
  </si>
  <si>
    <t>AR20384</t>
  </si>
  <si>
    <t>AR20385</t>
  </si>
  <si>
    <t>AR20386</t>
  </si>
  <si>
    <t>AR20387</t>
  </si>
  <si>
    <t>AR20388</t>
  </si>
  <si>
    <t>AR20389</t>
  </si>
  <si>
    <t>AR20390</t>
  </si>
  <si>
    <t>AR20391</t>
  </si>
  <si>
    <t>AR20392</t>
  </si>
  <si>
    <t>AR20393</t>
  </si>
  <si>
    <t>AR20394</t>
  </si>
  <si>
    <t>AR20395</t>
  </si>
  <si>
    <t>AR20396</t>
  </si>
  <si>
    <t>AR20397</t>
  </si>
  <si>
    <t>AR20398</t>
  </si>
  <si>
    <t>AR20399</t>
  </si>
  <si>
    <t>AR20400</t>
  </si>
  <si>
    <t>AR20401</t>
  </si>
  <si>
    <t>AR20402</t>
  </si>
  <si>
    <t>AR20403</t>
  </si>
  <si>
    <t>AR20404</t>
  </si>
  <si>
    <t>AR20405</t>
  </si>
  <si>
    <t>AR20406</t>
  </si>
  <si>
    <t>AR20407</t>
  </si>
  <si>
    <t>AR20408</t>
  </si>
  <si>
    <t>AR20409</t>
  </si>
  <si>
    <t>AR20410</t>
  </si>
  <si>
    <t>AR20411</t>
  </si>
  <si>
    <t>AR20412</t>
  </si>
  <si>
    <t>AR20413</t>
  </si>
  <si>
    <t>AR20414</t>
  </si>
  <si>
    <t>AR20415</t>
  </si>
  <si>
    <t>AR20416</t>
  </si>
  <si>
    <t>AR20417</t>
  </si>
  <si>
    <t>AR20418</t>
  </si>
  <si>
    <t>AR20419</t>
  </si>
  <si>
    <t>AR20420</t>
  </si>
  <si>
    <t>AR20421</t>
  </si>
  <si>
    <t>AR20422</t>
  </si>
  <si>
    <t>AR20423</t>
  </si>
  <si>
    <t>AR20424</t>
  </si>
  <si>
    <t>AR20425</t>
  </si>
  <si>
    <t>AR20426</t>
  </si>
  <si>
    <t>AR20427</t>
  </si>
  <si>
    <t>AR20428</t>
  </si>
  <si>
    <t>AR20429</t>
  </si>
  <si>
    <t>AR20430</t>
  </si>
  <si>
    <t>AR20431</t>
  </si>
  <si>
    <t>AR20432</t>
  </si>
  <si>
    <t>AR20433</t>
  </si>
  <si>
    <t>AR20434</t>
  </si>
  <si>
    <t>AR20435</t>
  </si>
  <si>
    <t>AR20436</t>
  </si>
  <si>
    <t>AR20437</t>
  </si>
  <si>
    <t>AR20438</t>
  </si>
  <si>
    <t>AR20439</t>
  </si>
  <si>
    <t>AR20440</t>
  </si>
  <si>
    <t>AR20441</t>
  </si>
  <si>
    <t>AR20442</t>
  </si>
  <si>
    <t>AR20443</t>
  </si>
  <si>
    <t>AR20444</t>
  </si>
  <si>
    <t>AR20445</t>
  </si>
  <si>
    <t>AR20446</t>
  </si>
  <si>
    <t>AR20447</t>
  </si>
  <si>
    <t>AR20448</t>
  </si>
  <si>
    <t>AR20449</t>
  </si>
  <si>
    <t>AR20450</t>
  </si>
  <si>
    <t>AR20451</t>
  </si>
  <si>
    <t>AR20452</t>
  </si>
  <si>
    <t>AR20453</t>
  </si>
  <si>
    <t>AR20454</t>
  </si>
  <si>
    <t>AR20455</t>
  </si>
  <si>
    <t>AR20456</t>
  </si>
  <si>
    <t>AR20457</t>
  </si>
  <si>
    <t>AR20458</t>
  </si>
  <si>
    <t>AR20459</t>
  </si>
  <si>
    <t>AR20460</t>
  </si>
  <si>
    <t>AR20461</t>
  </si>
  <si>
    <t>AR20462</t>
  </si>
  <si>
    <t>AR20463</t>
  </si>
  <si>
    <t>AR20464</t>
  </si>
  <si>
    <t>AR20465</t>
  </si>
  <si>
    <t>AR20466</t>
  </si>
  <si>
    <t>AR20467</t>
  </si>
  <si>
    <t>AR20468</t>
  </si>
  <si>
    <t>AR20469</t>
  </si>
  <si>
    <t>AR20470</t>
  </si>
  <si>
    <t>AR20471</t>
  </si>
  <si>
    <t>AR20472</t>
  </si>
  <si>
    <t>AR20473</t>
  </si>
  <si>
    <t>AR20474</t>
  </si>
  <si>
    <t>AR20475</t>
  </si>
  <si>
    <t>AR20476</t>
  </si>
  <si>
    <t>AR20477</t>
  </si>
  <si>
    <t>AR20478</t>
  </si>
  <si>
    <t>AR20479</t>
  </si>
  <si>
    <t>AR20480</t>
  </si>
  <si>
    <t>AR20481</t>
  </si>
  <si>
    <t>AR20482</t>
  </si>
  <si>
    <t>AR20483</t>
  </si>
  <si>
    <t>AR20484</t>
  </si>
  <si>
    <t>AR20485</t>
  </si>
  <si>
    <t>AR20486</t>
  </si>
  <si>
    <t>AR20487</t>
  </si>
  <si>
    <t>AR20488</t>
  </si>
  <si>
    <t>AR20489</t>
  </si>
  <si>
    <t>AR20490</t>
  </si>
  <si>
    <t>AR20491</t>
  </si>
  <si>
    <t>AR20492</t>
  </si>
  <si>
    <t>AR20493</t>
  </si>
  <si>
    <t>AR20494</t>
  </si>
  <si>
    <t>AR20495</t>
  </si>
  <si>
    <t>AR20496</t>
  </si>
  <si>
    <t>AR20497</t>
  </si>
  <si>
    <t>AR20498</t>
  </si>
  <si>
    <t>AR20499</t>
  </si>
  <si>
    <t>AR20500</t>
  </si>
  <si>
    <t>AR20501</t>
  </si>
  <si>
    <t>AR20502</t>
  </si>
  <si>
    <t>AR20503</t>
  </si>
  <si>
    <t>AR20504</t>
  </si>
  <si>
    <t>AR20505</t>
  </si>
  <si>
    <t>AR20506</t>
  </si>
  <si>
    <t>AR20507</t>
  </si>
  <si>
    <t>AR20508</t>
  </si>
  <si>
    <t>AR20509</t>
  </si>
  <si>
    <t>AR20510</t>
  </si>
  <si>
    <t>AR20511</t>
  </si>
  <si>
    <t>AR20512</t>
  </si>
  <si>
    <t>AR20513</t>
  </si>
  <si>
    <t>AR20514</t>
  </si>
  <si>
    <t>AR20515</t>
  </si>
  <si>
    <t>AR20516</t>
  </si>
  <si>
    <t>AR20517</t>
  </si>
  <si>
    <t>AR20518</t>
  </si>
  <si>
    <t>AR20519</t>
  </si>
  <si>
    <t>AR20520</t>
  </si>
  <si>
    <t>AR20521</t>
  </si>
  <si>
    <t>AR20522</t>
  </si>
  <si>
    <t>AR20523</t>
  </si>
  <si>
    <t>AR20524</t>
  </si>
  <si>
    <t>AR20525</t>
  </si>
  <si>
    <t>AR20526</t>
  </si>
  <si>
    <t>AR20527</t>
  </si>
  <si>
    <t>AR20528</t>
  </si>
  <si>
    <t>AR20529</t>
  </si>
  <si>
    <t>AR20530</t>
  </si>
  <si>
    <t>AR20531</t>
  </si>
  <si>
    <t>AR20532</t>
  </si>
  <si>
    <t>AR20533</t>
  </si>
  <si>
    <t>AR20534</t>
  </si>
  <si>
    <t>AR20535</t>
  </si>
  <si>
    <t>AR20536</t>
  </si>
  <si>
    <t>AR20537</t>
  </si>
  <si>
    <t>AR20538</t>
  </si>
  <si>
    <t>AR20539</t>
  </si>
  <si>
    <t>AR20540</t>
  </si>
  <si>
    <t>AR20541</t>
  </si>
  <si>
    <t>AR20542</t>
  </si>
  <si>
    <t>AR20543</t>
  </si>
  <si>
    <t>AR20544</t>
  </si>
  <si>
    <t>AR20545</t>
  </si>
  <si>
    <t>AR20546</t>
  </si>
  <si>
    <t>AR20547</t>
  </si>
  <si>
    <t>AR20548</t>
  </si>
  <si>
    <t>AR20549</t>
  </si>
  <si>
    <t>AR20550</t>
  </si>
  <si>
    <t>AR20551</t>
  </si>
  <si>
    <t>AR20552</t>
  </si>
  <si>
    <t>AR20553</t>
  </si>
  <si>
    <t>AR20554</t>
  </si>
  <si>
    <t>AR20555</t>
  </si>
  <si>
    <t>AR20556</t>
  </si>
  <si>
    <t>AR20557</t>
  </si>
  <si>
    <t>AR20558</t>
  </si>
  <si>
    <t>AR20559</t>
  </si>
  <si>
    <t>AR20560</t>
  </si>
  <si>
    <t>AR20561</t>
  </si>
  <si>
    <t>AR20562</t>
  </si>
  <si>
    <t>AR20563</t>
  </si>
  <si>
    <t>AR20564</t>
  </si>
  <si>
    <t>AR20565</t>
  </si>
  <si>
    <t>AR20566</t>
  </si>
  <si>
    <t>AR20567</t>
  </si>
  <si>
    <t>AR20568</t>
  </si>
  <si>
    <t>AR20569</t>
  </si>
  <si>
    <t>AR20570</t>
  </si>
  <si>
    <t>AR20571</t>
  </si>
  <si>
    <t>AR20572</t>
  </si>
  <si>
    <t>AR20573</t>
  </si>
  <si>
    <t>AR20574</t>
  </si>
  <si>
    <t>AR20575</t>
  </si>
  <si>
    <t>AR20576</t>
  </si>
  <si>
    <t>AR20577</t>
  </si>
  <si>
    <t>AR20578</t>
  </si>
  <si>
    <t>AR20579</t>
  </si>
  <si>
    <t>AR20580</t>
  </si>
  <si>
    <t>AR20581</t>
  </si>
  <si>
    <t>AR20582</t>
  </si>
  <si>
    <t>AR20583</t>
  </si>
  <si>
    <t>AR20584</t>
  </si>
  <si>
    <t>AR20585</t>
  </si>
  <si>
    <t>AR20586</t>
  </si>
  <si>
    <t>AR20587</t>
  </si>
  <si>
    <t>AR20588</t>
  </si>
  <si>
    <t>AR20589</t>
  </si>
  <si>
    <t>AR20590</t>
  </si>
  <si>
    <t>AR20591</t>
  </si>
  <si>
    <t>AR20592</t>
  </si>
  <si>
    <t>AR20593</t>
  </si>
  <si>
    <t>AR20594</t>
  </si>
  <si>
    <t>AR20595</t>
  </si>
  <si>
    <t>AR20596</t>
  </si>
  <si>
    <t>AR20597</t>
  </si>
  <si>
    <t>AR20598</t>
  </si>
  <si>
    <t>AR20599</t>
  </si>
  <si>
    <t>AR20600</t>
  </si>
  <si>
    <t>AR20601</t>
  </si>
  <si>
    <t>AR20602</t>
  </si>
  <si>
    <t>AR20603</t>
  </si>
  <si>
    <t>AR20604</t>
  </si>
  <si>
    <t>AR20605</t>
  </si>
  <si>
    <t>AR20606</t>
  </si>
  <si>
    <t>AR20607</t>
  </si>
  <si>
    <t>AR20608</t>
  </si>
  <si>
    <t>AR20609</t>
  </si>
  <si>
    <t>AR20610</t>
  </si>
  <si>
    <t>AR20611</t>
  </si>
  <si>
    <t>AR20612</t>
  </si>
  <si>
    <t>AR20613</t>
  </si>
  <si>
    <t>AR20614</t>
  </si>
  <si>
    <t>AR20615</t>
  </si>
  <si>
    <t>AR20616</t>
  </si>
  <si>
    <t>AR20617</t>
  </si>
  <si>
    <t>AR20618</t>
  </si>
  <si>
    <t>AR20619</t>
  </si>
  <si>
    <t>AR20620</t>
  </si>
  <si>
    <t>AR20621</t>
  </si>
  <si>
    <t>AR20622</t>
  </si>
  <si>
    <t>AR20623</t>
  </si>
  <si>
    <t>AR20624</t>
  </si>
  <si>
    <t>AR20625</t>
  </si>
  <si>
    <t>AR20626</t>
  </si>
  <si>
    <t>AR20627</t>
  </si>
  <si>
    <t>AR20628</t>
  </si>
  <si>
    <t>AR20629</t>
  </si>
  <si>
    <t>AR20630</t>
  </si>
  <si>
    <t>AR20631</t>
  </si>
  <si>
    <t>AR20632</t>
  </si>
  <si>
    <t>AR20633</t>
  </si>
  <si>
    <t>AR20634</t>
  </si>
  <si>
    <t>AR20635</t>
  </si>
  <si>
    <t>AR20636</t>
  </si>
  <si>
    <t>AR20637</t>
  </si>
  <si>
    <t>AR20638</t>
  </si>
  <si>
    <t>AR20639</t>
  </si>
  <si>
    <t>AR20640</t>
  </si>
  <si>
    <t>AR20641</t>
  </si>
  <si>
    <t>AR20642</t>
  </si>
  <si>
    <t>AR20643</t>
  </si>
  <si>
    <t>AR20644</t>
  </si>
  <si>
    <t>AR20645</t>
  </si>
  <si>
    <t>AR20646</t>
  </si>
  <si>
    <t>AR20647</t>
  </si>
  <si>
    <t>AR20648</t>
  </si>
  <si>
    <t>AR20649</t>
  </si>
  <si>
    <t>AR20650</t>
  </si>
  <si>
    <t>AR20651</t>
  </si>
  <si>
    <t>AR20652</t>
  </si>
  <si>
    <t>AR20653</t>
  </si>
  <si>
    <t>AR20654</t>
  </si>
  <si>
    <t>AR20655</t>
  </si>
  <si>
    <t>AR20656</t>
  </si>
  <si>
    <t>AR20657</t>
  </si>
  <si>
    <t>AR20658</t>
  </si>
  <si>
    <t>AR20659</t>
  </si>
  <si>
    <t>AR20660</t>
  </si>
  <si>
    <t>AR20661</t>
  </si>
  <si>
    <t>AR20662</t>
  </si>
  <si>
    <t>AR20663</t>
  </si>
  <si>
    <t>AR20664</t>
  </si>
  <si>
    <t>AR20665</t>
  </si>
  <si>
    <t>AR20666</t>
  </si>
  <si>
    <t>AR20667</t>
  </si>
  <si>
    <t>AR20668</t>
  </si>
  <si>
    <t>AR20669</t>
  </si>
  <si>
    <t>AR20670</t>
  </si>
  <si>
    <t>AR20671</t>
  </si>
  <si>
    <t>AR20672</t>
  </si>
  <si>
    <t>AR20673</t>
  </si>
  <si>
    <t>AR20674</t>
  </si>
  <si>
    <t>AR20675</t>
  </si>
  <si>
    <t>AR20676</t>
  </si>
  <si>
    <t>AR20677</t>
  </si>
  <si>
    <t>AR20678</t>
  </si>
  <si>
    <t>AR20679</t>
  </si>
  <si>
    <t>AR20680</t>
  </si>
  <si>
    <t>AR20681</t>
  </si>
  <si>
    <t>AR20682</t>
  </si>
  <si>
    <t>AR20683</t>
  </si>
  <si>
    <t>AR20684</t>
  </si>
  <si>
    <t>AR20685</t>
  </si>
  <si>
    <t>AR20686</t>
  </si>
  <si>
    <t>AR20687</t>
  </si>
  <si>
    <t>AR20688</t>
  </si>
  <si>
    <t>AR20689</t>
  </si>
  <si>
    <t>AR20690</t>
  </si>
  <si>
    <t>AR20691</t>
  </si>
  <si>
    <t>AR20692</t>
  </si>
  <si>
    <t>AR20693</t>
  </si>
  <si>
    <t>AR20694</t>
  </si>
  <si>
    <t>AR20695</t>
  </si>
  <si>
    <t>AR20696</t>
  </si>
  <si>
    <t>AR20697</t>
  </si>
  <si>
    <t>AR20698</t>
  </si>
  <si>
    <t>AR20699</t>
  </si>
  <si>
    <t>AR20700</t>
  </si>
  <si>
    <t>AR20701</t>
  </si>
  <si>
    <t>AR20702</t>
  </si>
  <si>
    <t>AR20703</t>
  </si>
  <si>
    <t>AR20704</t>
  </si>
  <si>
    <t>AR20705</t>
  </si>
  <si>
    <t>AR20706</t>
  </si>
  <si>
    <t>AR20707</t>
  </si>
  <si>
    <t>AR20708</t>
  </si>
  <si>
    <t>AR20709</t>
  </si>
  <si>
    <t>AR20710</t>
  </si>
  <si>
    <t>AR20711</t>
  </si>
  <si>
    <t>AR20712</t>
  </si>
  <si>
    <t>AR20713</t>
  </si>
  <si>
    <t>AR20714</t>
  </si>
  <si>
    <t>AR20715</t>
  </si>
  <si>
    <t>AR20716</t>
  </si>
  <si>
    <t>AR20717</t>
  </si>
  <si>
    <t>AR20718</t>
  </si>
  <si>
    <t>AR20719</t>
  </si>
  <si>
    <t>AR20720</t>
  </si>
  <si>
    <t>AR20721</t>
  </si>
  <si>
    <t>AR20722</t>
  </si>
  <si>
    <t>AR20723</t>
  </si>
  <si>
    <t>AR20724</t>
  </si>
  <si>
    <t>AR20725</t>
  </si>
  <si>
    <t>AR20726</t>
  </si>
  <si>
    <t>AR20727</t>
  </si>
  <si>
    <t>AR20728</t>
  </si>
  <si>
    <t>AR20729</t>
  </si>
  <si>
    <t>AR20730</t>
  </si>
  <si>
    <t>AR20731</t>
  </si>
  <si>
    <t>AR20732</t>
  </si>
  <si>
    <t>AR20733</t>
  </si>
  <si>
    <t>AR20734</t>
  </si>
  <si>
    <t>AR20735</t>
  </si>
  <si>
    <t>AR20736</t>
  </si>
  <si>
    <t>AR20737</t>
  </si>
  <si>
    <t>AR20738</t>
  </si>
  <si>
    <t>AR20739</t>
  </si>
  <si>
    <t>AR20740</t>
  </si>
  <si>
    <t>AR20741</t>
  </si>
  <si>
    <t>AR20742</t>
  </si>
  <si>
    <t>AR20743</t>
  </si>
  <si>
    <t>AR20744</t>
  </si>
  <si>
    <t>AR20745</t>
  </si>
  <si>
    <t>AR20746</t>
  </si>
  <si>
    <t>AR20747</t>
  </si>
  <si>
    <t>AR20748</t>
  </si>
  <si>
    <t>AR20749</t>
  </si>
  <si>
    <t>AR20750</t>
  </si>
  <si>
    <t>AR20751</t>
  </si>
  <si>
    <t>AR20752</t>
  </si>
  <si>
    <t>AR20753</t>
  </si>
  <si>
    <t>AR20754</t>
  </si>
  <si>
    <t>AR20755</t>
  </si>
  <si>
    <t>AR20756</t>
  </si>
  <si>
    <t>AR20757</t>
  </si>
  <si>
    <t>AR20758</t>
  </si>
  <si>
    <t>AR20759</t>
  </si>
  <si>
    <t>AR20760</t>
  </si>
  <si>
    <t>AR20761</t>
  </si>
  <si>
    <t>AR20762</t>
  </si>
  <si>
    <t>AR20763</t>
  </si>
  <si>
    <t>AR20764</t>
  </si>
  <si>
    <t>AR20765</t>
  </si>
  <si>
    <t>AR20766</t>
  </si>
  <si>
    <t>AR20767</t>
  </si>
  <si>
    <t>AR20768</t>
  </si>
  <si>
    <t>AR20769</t>
  </si>
  <si>
    <t>AR20770</t>
  </si>
  <si>
    <t>AR20771</t>
  </si>
  <si>
    <t>AR20772</t>
  </si>
  <si>
    <t>AR20773</t>
  </si>
  <si>
    <t>AR20774</t>
  </si>
  <si>
    <t>AR20775</t>
  </si>
  <si>
    <t>AR20776</t>
  </si>
  <si>
    <t>AR20777</t>
  </si>
  <si>
    <t>AR20778</t>
  </si>
  <si>
    <t>AR20779</t>
  </si>
  <si>
    <t>AR20780</t>
  </si>
  <si>
    <t>AR20781</t>
  </si>
  <si>
    <t>AR20782</t>
  </si>
  <si>
    <t>AR20783</t>
  </si>
  <si>
    <t>AR20784</t>
  </si>
  <si>
    <t>AR20785</t>
  </si>
  <si>
    <t>AR20786</t>
  </si>
  <si>
    <t>AR20787</t>
  </si>
  <si>
    <t>AR20788</t>
  </si>
  <si>
    <t>AR20789</t>
  </si>
  <si>
    <t>AR20790</t>
  </si>
  <si>
    <t>AR20791</t>
  </si>
  <si>
    <t>AR20792</t>
  </si>
  <si>
    <t>AR20793</t>
  </si>
  <si>
    <t>AR20794</t>
  </si>
  <si>
    <t>AR20795</t>
  </si>
  <si>
    <t>AR20796</t>
  </si>
  <si>
    <t>AR20797</t>
  </si>
  <si>
    <t>AR20798</t>
  </si>
  <si>
    <t>AR20799</t>
  </si>
  <si>
    <t>AR20800</t>
  </si>
  <si>
    <t>AR20801</t>
  </si>
  <si>
    <t>AR20802</t>
  </si>
  <si>
    <t>AR20803</t>
  </si>
  <si>
    <t>AR20804</t>
  </si>
  <si>
    <t>AR20805</t>
  </si>
  <si>
    <t>AR20806</t>
  </si>
  <si>
    <t>AR20807</t>
  </si>
  <si>
    <t>AR20808</t>
  </si>
  <si>
    <t>AR20809</t>
  </si>
  <si>
    <t>AR20810</t>
  </si>
  <si>
    <t>AR20811</t>
  </si>
  <si>
    <t>AR20812</t>
  </si>
  <si>
    <t>AR20813</t>
  </si>
  <si>
    <t>AR20814</t>
  </si>
  <si>
    <t>AR20815</t>
  </si>
  <si>
    <t>AR20816</t>
  </si>
  <si>
    <t>AR20817</t>
  </si>
  <si>
    <t>AR20818</t>
  </si>
  <si>
    <t>AR20819</t>
  </si>
  <si>
    <t>AR20820</t>
  </si>
  <si>
    <t>AR20821</t>
  </si>
  <si>
    <t>AR20822</t>
  </si>
  <si>
    <t>AR20823</t>
  </si>
  <si>
    <t>AR20824</t>
  </si>
  <si>
    <t>AR20825</t>
  </si>
  <si>
    <t>AR20826</t>
  </si>
  <si>
    <t>AR20827</t>
  </si>
  <si>
    <t>AR20828</t>
  </si>
  <si>
    <t>AR20829</t>
  </si>
  <si>
    <t>AR20830</t>
  </si>
  <si>
    <t>AR20831</t>
  </si>
  <si>
    <t>AR20832</t>
  </si>
  <si>
    <t>AR20833</t>
  </si>
  <si>
    <t>AR20834</t>
  </si>
  <si>
    <t>AR20835</t>
  </si>
  <si>
    <t>AR20836</t>
  </si>
  <si>
    <t>AR20837</t>
  </si>
  <si>
    <t>AR20838</t>
  </si>
  <si>
    <t>AR20839</t>
  </si>
  <si>
    <t>AR20840</t>
  </si>
  <si>
    <t>AR20841</t>
  </si>
  <si>
    <t>AR20842</t>
  </si>
  <si>
    <t>AR20843</t>
  </si>
  <si>
    <t>AR20844</t>
  </si>
  <si>
    <t>AR20845</t>
  </si>
  <si>
    <t>AR20846</t>
  </si>
  <si>
    <t>AR20847</t>
  </si>
  <si>
    <t>AR20848</t>
  </si>
  <si>
    <t>AR20849</t>
  </si>
  <si>
    <t>AR20850</t>
  </si>
  <si>
    <t>AR20851</t>
  </si>
  <si>
    <t>AR20852</t>
  </si>
  <si>
    <t>AR20853</t>
  </si>
  <si>
    <t>AR20854</t>
  </si>
  <si>
    <t>AR20855</t>
  </si>
  <si>
    <t>AR20856</t>
  </si>
  <si>
    <t>AR20857</t>
  </si>
  <si>
    <t>AR20858</t>
  </si>
  <si>
    <t>AR20859</t>
  </si>
  <si>
    <t>AR20860</t>
  </si>
  <si>
    <t>AR20861</t>
  </si>
  <si>
    <t>AR20862</t>
  </si>
  <si>
    <t>AR20863</t>
  </si>
  <si>
    <t>AR20864</t>
  </si>
  <si>
    <t>AR20865</t>
  </si>
  <si>
    <t>AR20866</t>
  </si>
  <si>
    <t>AR20867</t>
  </si>
  <si>
    <t>AR20868</t>
  </si>
  <si>
    <t>AR20869</t>
  </si>
  <si>
    <t>AR20870</t>
  </si>
  <si>
    <t>AR20871</t>
  </si>
  <si>
    <t>AR20872</t>
  </si>
  <si>
    <t>AR20873</t>
  </si>
  <si>
    <t>AR20874</t>
  </si>
  <si>
    <t>AR20875</t>
  </si>
  <si>
    <t>AR20876</t>
  </si>
  <si>
    <t>AR20877</t>
  </si>
  <si>
    <t>AR20878</t>
  </si>
  <si>
    <t>AR20879</t>
  </si>
  <si>
    <t>AR20880</t>
  </si>
  <si>
    <t>AR20881</t>
  </si>
  <si>
    <t>AR20882</t>
  </si>
  <si>
    <t>AR20883</t>
  </si>
  <si>
    <t>AR20884</t>
  </si>
  <si>
    <t>AR20885</t>
  </si>
  <si>
    <t>AR20886</t>
  </si>
  <si>
    <t>AR20887</t>
  </si>
  <si>
    <t>AR20888</t>
  </si>
  <si>
    <t>AR20889</t>
  </si>
  <si>
    <t>AR20890</t>
  </si>
  <si>
    <t>AR20891</t>
  </si>
  <si>
    <t>AR20892</t>
  </si>
  <si>
    <t>AR20893</t>
  </si>
  <si>
    <t>AR20894</t>
  </si>
  <si>
    <t>AR20895</t>
  </si>
  <si>
    <t>AR20896</t>
  </si>
  <si>
    <t>AR20897</t>
  </si>
  <si>
    <t>AR20898</t>
  </si>
  <si>
    <t>AR20899</t>
  </si>
  <si>
    <t>Soylent</t>
  </si>
  <si>
    <t>Umbrella</t>
  </si>
  <si>
    <t>Acme</t>
  </si>
  <si>
    <t>Initech</t>
  </si>
  <si>
    <t>Globex</t>
  </si>
  <si>
    <t>USD</t>
  </si>
  <si>
    <t>EUR</t>
  </si>
  <si>
    <t>GBP</t>
  </si>
  <si>
    <t>CAD</t>
  </si>
  <si>
    <t>AUD</t>
  </si>
  <si>
    <t>Partial</t>
  </si>
  <si>
    <t>Open</t>
  </si>
  <si>
    <t>Received</t>
  </si>
  <si>
    <t>Net 45</t>
  </si>
  <si>
    <t>Received Date</t>
  </si>
  <si>
    <t>Due Date</t>
  </si>
  <si>
    <t>Invoice Date</t>
  </si>
  <si>
    <t>Blank Received Date</t>
  </si>
  <si>
    <t>Days Past Due(DPD)</t>
  </si>
  <si>
    <t>Overdue Flag</t>
  </si>
  <si>
    <t>Outstanding Amount</t>
  </si>
  <si>
    <t>DSO Calculations</t>
  </si>
  <si>
    <t>Age Bucket</t>
  </si>
  <si>
    <t>Outstanding Day</t>
  </si>
  <si>
    <t>Row Labels</t>
  </si>
  <si>
    <t>Grand Total</t>
  </si>
  <si>
    <t>Sum of Amount</t>
  </si>
  <si>
    <t>Sum of Outstanding Amount</t>
  </si>
  <si>
    <t>Paid Amount</t>
  </si>
  <si>
    <t>Overdue Amount</t>
  </si>
  <si>
    <t>Sum of Overdue Amount</t>
  </si>
  <si>
    <t>D.S.O</t>
  </si>
  <si>
    <t>181–365 Days</t>
  </si>
  <si>
    <t>365+ Days (High Risk)</t>
  </si>
  <si>
    <t>91–180 Days</t>
  </si>
  <si>
    <t>Item</t>
  </si>
  <si>
    <t>Total Outstanding AR (Sub-ledger)</t>
  </si>
  <si>
    <t>AR Balance as per GL</t>
  </si>
  <si>
    <t>Difference</t>
  </si>
  <si>
    <t>DIFFERENCE DUE TO TIMING DIFFRENCES AND PENDING ADJUSTMENTS</t>
  </si>
  <si>
    <t>OVERDUE %</t>
  </si>
  <si>
    <t>Sum of Days Past Due(DPD)</t>
  </si>
  <si>
    <t>Severely Overdue%</t>
  </si>
  <si>
    <t>Count of Overdue Flag</t>
  </si>
  <si>
    <t>On Time</t>
  </si>
  <si>
    <t>Overdue</t>
  </si>
  <si>
    <t>Jan</t>
  </si>
  <si>
    <t>Feb</t>
  </si>
  <si>
    <t>Mar</t>
  </si>
  <si>
    <t>Apr</t>
  </si>
  <si>
    <t>May</t>
  </si>
  <si>
    <t>Jun</t>
  </si>
  <si>
    <t>Jul</t>
  </si>
  <si>
    <t>Aug</t>
  </si>
  <si>
    <t>Sep</t>
  </si>
  <si>
    <t>Oct</t>
  </si>
  <si>
    <t>Nov</t>
  </si>
  <si>
    <t>Dec</t>
  </si>
  <si>
    <t>Not 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</si>
</sst>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
  </numFmts>
  <fonts count="6" x14ac:knownFonts="1">
    <font>
      <sz val="11"/>
      <color theme="1"/>
      <name val="Calibri"/>
      <family val="2"/>
      <scheme val="minor"/>
    </font>
    <font>
      <sz val="11"/>
      <color theme="0"/>
      <name val="Arial Black"/>
      <family val="2"/>
    </font>
    <font>
      <b/>
      <sz val="11"/>
      <color theme="1"/>
      <name val="Calibri"/>
      <family val="2"/>
      <scheme val="minor"/>
    </font>
    <font>
      <sz val="10"/>
      <color theme="0"/>
      <name val="Arial Black"/>
      <family val="2"/>
    </font>
    <font>
      <sz val="11"/>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rgb="FF002060"/>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14" fontId="0" fillId="0" borderId="0" xfId="0" applyNumberFormat="1"/>
    <xf numFmtId="0" fontId="0" fillId="2" borderId="0" xfId="0" applyFill="1"/>
    <xf numFmtId="2" fontId="0" fillId="0" borderId="0" xfId="0" applyNumberFormat="1"/>
    <xf numFmtId="0" fontId="0" fillId="0" borderId="0" xfId="0" pivotButton="1"/>
    <xf numFmtId="0" fontId="0" fillId="0" borderId="0" xfId="0" applyAlignment="1">
      <alignment horizontal="left"/>
    </xf>
    <xf numFmtId="0" fontId="0" fillId="4" borderId="0" xfId="0" applyFill="1"/>
    <xf numFmtId="0" fontId="2" fillId="0" borderId="0" xfId="0" applyFont="1"/>
    <xf numFmtId="0" fontId="1" fillId="0" borderId="0" xfId="0" applyFont="1" applyAlignment="1">
      <alignment horizontal="center" vertical="center"/>
    </xf>
    <xf numFmtId="0" fontId="3" fillId="3" borderId="0" xfId="0" applyFont="1" applyFill="1" applyAlignment="1">
      <alignment horizontal="center" vertical="center"/>
    </xf>
    <xf numFmtId="0" fontId="0" fillId="0" borderId="1" xfId="0" applyBorder="1"/>
    <xf numFmtId="3" fontId="0" fillId="0" borderId="1" xfId="0" applyNumberFormat="1" applyBorder="1"/>
    <xf numFmtId="0" fontId="0" fillId="0" borderId="3" xfId="0" applyBorder="1"/>
    <xf numFmtId="0" fontId="5" fillId="0" borderId="2" xfId="0" applyFont="1" applyBorder="1"/>
    <xf numFmtId="0" fontId="1" fillId="5" borderId="0" xfId="0" applyFont="1" applyFill="1" applyAlignment="1">
      <alignment horizontal="center" vertical="center"/>
    </xf>
    <xf numFmtId="14" fontId="1" fillId="5" borderId="0" xfId="0" applyNumberFormat="1" applyFont="1" applyFill="1" applyAlignment="1">
      <alignment horizontal="center" vertical="center"/>
    </xf>
    <xf numFmtId="2" fontId="1" fillId="5" borderId="0" xfId="0" applyNumberFormat="1" applyFont="1" applyFill="1" applyAlignment="1">
      <alignment horizontal="center" vertical="center"/>
    </xf>
    <xf numFmtId="9" fontId="0" fillId="0" borderId="0" xfId="1" applyFont="1"/>
    <xf numFmtId="14" fontId="0" fillId="0" borderId="0" xfId="0" applyNumberFormat="1" applyAlignment="1">
      <alignment horizontal="left"/>
    </xf>
    <xf numFmtId="164" fontId="0" fillId="0" borderId="3" xfId="0" applyNumberFormat="1" applyBorder="1"/>
    <xf numFmtId="0" fontId="5" fillId="6" borderId="0" xfId="0" applyFont="1" applyFill="1"/>
  </cellXfs>
  <cellStyles count="2">
    <cellStyle name="Normal" xfId="0" builtinId="0"/>
    <cellStyle name="Percent" xfId="1" builtinId="5"/>
  </cellStyles>
  <dxfs count="7">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5" tint="0.39994506668294322"/>
        </patternFill>
      </fill>
    </dxf>
    <dxf>
      <fill>
        <patternFill>
          <bgColor theme="6" tint="0.39994506668294322"/>
        </patternFill>
      </fill>
    </dxf>
    <dxf>
      <fill>
        <patternFill>
          <bgColor theme="9" tint="0.39994506668294322"/>
        </patternFill>
      </fill>
    </dxf>
  </dxfs>
  <tableStyles count="0" defaultTableStyle="TableStyleMedium9" defaultPivotStyle="PivotStyleLight16"/>
  <colors>
    <mruColors>
      <color rgb="FF000066"/>
      <color rgb="FF003366"/>
      <color rgb="FFFF7C80"/>
      <color rgb="FFFF9933"/>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Bahnschrift SemiBold" panose="020B0502040204020203" pitchFamily="34" charset="0"/>
              </a:rPr>
              <a:t>Accounts Receivable Ageing (₹)</a:t>
            </a:r>
            <a:endParaRPr lang="en-US">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fld id="{C0504E87-B534-46F1-B250-3C652856E23E}" type="VALUE">
                  <a:rPr lang="en-US">
                    <a:solidFill>
                      <a:schemeClr val="bg1"/>
                    </a:solidFill>
                  </a:rPr>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layout>
            <c:manualLayout>
              <c:x val="9.99999999999999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9.99999999999999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fld id="{C0504E87-B534-46F1-B250-3C652856E23E}" type="VALUE">
                  <a:rPr lang="en-US">
                    <a:solidFill>
                      <a:schemeClr val="bg1"/>
                    </a:solidFill>
                  </a:rPr>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9.72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31822240796524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fld id="{C0504E87-B534-46F1-B250-3C652856E23E}" type="VALUE">
                  <a:rPr lang="en-US">
                    <a:solidFill>
                      <a:schemeClr val="bg1"/>
                    </a:solidFill>
                    <a:latin typeface="+mj-lt"/>
                  </a:rPr>
                  <a:pPr>
                    <a:defRPr>
                      <a:latin typeface="+mj-lt"/>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3347913772523074"/>
          <c:y val="0.16075418194045377"/>
          <c:w val="0.60662872546252422"/>
          <c:h val="0.72190543890347036"/>
        </c:manualLayout>
      </c:layout>
      <c:barChart>
        <c:barDir val="bar"/>
        <c:grouping val="stacked"/>
        <c:varyColors val="0"/>
        <c:ser>
          <c:idx val="0"/>
          <c:order val="0"/>
          <c:tx>
            <c:strRef>
              <c:f>PIVOT_TABLE!$B$16</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3-055A-4D9D-9FDC-A1921C340ED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055A-4D9D-9FDC-A1921C340EDC}"/>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5-46C5-437E-98EE-50FD55B9011B}"/>
              </c:ext>
            </c:extLst>
          </c:dPt>
          <c:dLbls>
            <c:dLbl>
              <c:idx val="1"/>
              <c:layout>
                <c:manualLayout>
                  <c:x val="9.722222222222222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5A-4D9D-9FDC-A1921C340EDC}"/>
                </c:ext>
              </c:extLst>
            </c:dLbl>
            <c:dLbl>
              <c:idx val="2"/>
              <c:layout>
                <c:manualLayout>
                  <c:x val="0.1318222407965245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5A-4D9D-9FDC-A1921C340EDC}"/>
                </c:ext>
              </c:extLst>
            </c:dLbl>
            <c:dLbl>
              <c:idx val="3"/>
              <c:tx>
                <c:rich>
                  <a:bodyPr/>
                  <a:lstStyle/>
                  <a:p>
                    <a:fld id="{C0504E87-B534-46F1-B250-3C652856E23E}" type="VALUE">
                      <a:rPr lang="en-US">
                        <a:solidFill>
                          <a:schemeClr val="bg1"/>
                        </a:solidFill>
                        <a:latin typeface="+mj-lt"/>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6C5-437E-98EE-50FD55B901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PIVOT_TABLE!$A$17:$A$21</c:f>
              <c:strCache>
                <c:ptCount val="4"/>
                <c:pt idx="0">
                  <c:v>Not Due</c:v>
                </c:pt>
                <c:pt idx="1">
                  <c:v>91–180 Days</c:v>
                </c:pt>
                <c:pt idx="2">
                  <c:v>181–365 Days</c:v>
                </c:pt>
                <c:pt idx="3">
                  <c:v>365+ Days (High Risk)</c:v>
                </c:pt>
              </c:strCache>
            </c:strRef>
          </c:cat>
          <c:val>
            <c:numRef>
              <c:f>PIVOT_TABLE!$B$17:$B$21</c:f>
              <c:numCache>
                <c:formatCode>General</c:formatCode>
                <c:ptCount val="4"/>
                <c:pt idx="0">
                  <c:v>0</c:v>
                </c:pt>
                <c:pt idx="1">
                  <c:v>37140.720000000001</c:v>
                </c:pt>
                <c:pt idx="2">
                  <c:v>466052.67</c:v>
                </c:pt>
                <c:pt idx="3">
                  <c:v>1882532.3400000026</c:v>
                </c:pt>
              </c:numCache>
            </c:numRef>
          </c:val>
          <c:extLst>
            <c:ext xmlns:c16="http://schemas.microsoft.com/office/drawing/2014/chart" uri="{C3380CC4-5D6E-409C-BE32-E72D297353CC}">
              <c16:uniqueId val="{00000004-055A-4D9D-9FDC-A1921C340EDC}"/>
            </c:ext>
          </c:extLst>
        </c:ser>
        <c:dLbls>
          <c:showLegendKey val="0"/>
          <c:showVal val="0"/>
          <c:showCatName val="0"/>
          <c:showSerName val="0"/>
          <c:showPercent val="0"/>
          <c:showBubbleSize val="0"/>
        </c:dLbls>
        <c:gapWidth val="150"/>
        <c:overlap val="100"/>
        <c:axId val="424688080"/>
        <c:axId val="424691680"/>
      </c:barChart>
      <c:catAx>
        <c:axId val="424688080"/>
        <c:scaling>
          <c:orientation val="minMax"/>
        </c:scaling>
        <c:delete val="0"/>
        <c:axPos val="l"/>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424691680"/>
        <c:crosses val="autoZero"/>
        <c:auto val="1"/>
        <c:lblAlgn val="ctr"/>
        <c:lblOffset val="100"/>
        <c:noMultiLvlLbl val="0"/>
      </c:catAx>
      <c:valAx>
        <c:axId val="424691680"/>
        <c:scaling>
          <c:orientation val="minMax"/>
        </c:scaling>
        <c:delete val="0"/>
        <c:axPos val="b"/>
        <c:numFmt formatCode="[$₹-4009]\ #,##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424688080"/>
        <c:crosses val="autoZero"/>
        <c:crossBetween val="between"/>
      </c:valAx>
      <c:spPr>
        <a:noFill/>
        <a:ln>
          <a:noFill/>
        </a:ln>
        <a:effectLst/>
      </c:spPr>
    </c:plotArea>
    <c:legend>
      <c:legendPos val="r"/>
      <c:layout>
        <c:manualLayout>
          <c:xMode val="edge"/>
          <c:yMode val="edge"/>
          <c:x val="0.79161456551184761"/>
          <c:y val="0.33686039375914861"/>
          <c:w val="0.19336611041292501"/>
          <c:h val="0.436194691306626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Bold" panose="020B0502040204020203" pitchFamily="34" charset="0"/>
                <a:ea typeface="+mn-ea"/>
                <a:cs typeface="+mn-cs"/>
              </a:defRPr>
            </a:pPr>
            <a:r>
              <a:rPr lang="en-US" sz="1400" b="0" i="0" u="none" strike="noStrike" baseline="0"/>
              <a:t>Invoice Status Distribution</a:t>
            </a:r>
            <a:endParaRPr lang="en-US" sz="1400" b="1">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j-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pivotFmt>
      <c:pivotFmt>
        <c:idx val="8"/>
        <c:spPr>
          <a:solidFill>
            <a:schemeClr val="accent1">
              <a:lumMod val="60000"/>
              <a:lumOff val="40000"/>
            </a:schemeClr>
          </a:solidFill>
          <a:ln w="19050">
            <a:solidFill>
              <a:schemeClr val="lt1"/>
            </a:solidFill>
          </a:ln>
          <a:effectLst/>
        </c:spPr>
      </c:pivotFmt>
    </c:pivotFmts>
    <c:plotArea>
      <c:layout>
        <c:manualLayout>
          <c:layoutTarget val="inner"/>
          <c:xMode val="edge"/>
          <c:yMode val="edge"/>
          <c:x val="0.25659120734908136"/>
          <c:y val="0.17110819480898221"/>
          <c:w val="0.44214238845144355"/>
          <c:h val="0.73690398075240593"/>
        </c:manualLayout>
      </c:layout>
      <c:doughnutChart>
        <c:varyColors val="1"/>
        <c:ser>
          <c:idx val="0"/>
          <c:order val="0"/>
          <c:tx>
            <c:strRef>
              <c:f>PIVOT_TABLE!$F$4</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C675-4622-895A-F3D77FC75070}"/>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C675-4622-895A-F3D77FC7507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j-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PIVOT_TABLE!$E$5:$E$7</c:f>
              <c:strCache>
                <c:ptCount val="2"/>
                <c:pt idx="0">
                  <c:v>On Time</c:v>
                </c:pt>
                <c:pt idx="1">
                  <c:v>Overdue</c:v>
                </c:pt>
              </c:strCache>
            </c:strRef>
          </c:cat>
          <c:val>
            <c:numRef>
              <c:f>PIVOT_TABLE!$F$5:$F$7</c:f>
              <c:numCache>
                <c:formatCode>General</c:formatCode>
                <c:ptCount val="2"/>
                <c:pt idx="0">
                  <c:v>301</c:v>
                </c:pt>
                <c:pt idx="1">
                  <c:v>599</c:v>
                </c:pt>
              </c:numCache>
            </c:numRef>
          </c:val>
          <c:extLst>
            <c:ext xmlns:c16="http://schemas.microsoft.com/office/drawing/2014/chart" uri="{C3380CC4-5D6E-409C-BE32-E72D297353CC}">
              <c16:uniqueId val="{00000004-C675-4622-895A-F3D77FC7507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76055424422063"/>
          <c:y val="0.3896751968503937"/>
          <c:w val="0.15877883685591931"/>
          <c:h val="0.258102945465150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Bold" panose="020B0502040204020203" pitchFamily="34" charset="0"/>
                <a:ea typeface="+mn-ea"/>
                <a:cs typeface="+mn-cs"/>
              </a:defRPr>
            </a:pPr>
            <a:r>
              <a:rPr lang="en-US" sz="1200" b="1" i="0" u="none" strike="noStrike" baseline="0">
                <a:latin typeface="Bahnschrift SemiBold" panose="020B0502040204020203" pitchFamily="34" charset="0"/>
              </a:rPr>
              <a:t>Top 10 Overdue Invoices by Outstanding Amount</a:t>
            </a:r>
            <a:endParaRPr lang="en-US" sz="1200" b="1">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PIVOT_TABLE!$F$15</c:f>
              <c:strCache>
                <c:ptCount val="1"/>
                <c:pt idx="0">
                  <c:v>Total</c:v>
                </c:pt>
              </c:strCache>
            </c:strRef>
          </c:tx>
          <c:spPr>
            <a:solidFill>
              <a:schemeClr val="accent1">
                <a:lumMod val="75000"/>
              </a:schemeClr>
            </a:solidFill>
            <a:ln>
              <a:noFill/>
            </a:ln>
            <a:effectLst/>
          </c:spPr>
          <c:invertIfNegative val="0"/>
          <c:cat>
            <c:strRef>
              <c:f>PIVOT_TABLE!$E$16:$E$26</c:f>
              <c:strCache>
                <c:ptCount val="10"/>
                <c:pt idx="0">
                  <c:v>01-05-23</c:v>
                </c:pt>
                <c:pt idx="1">
                  <c:v>01-07-23</c:v>
                </c:pt>
                <c:pt idx="2">
                  <c:v>13-10-23</c:v>
                </c:pt>
                <c:pt idx="3">
                  <c:v>07-01-24</c:v>
                </c:pt>
                <c:pt idx="4">
                  <c:v>24-02-24</c:v>
                </c:pt>
                <c:pt idx="5">
                  <c:v>11-04-24</c:v>
                </c:pt>
                <c:pt idx="6">
                  <c:v>15-05-24</c:v>
                </c:pt>
                <c:pt idx="7">
                  <c:v>10-06-24</c:v>
                </c:pt>
                <c:pt idx="8">
                  <c:v>21-11-24</c:v>
                </c:pt>
                <c:pt idx="9">
                  <c:v>06-06-25</c:v>
                </c:pt>
              </c:strCache>
            </c:strRef>
          </c:cat>
          <c:val>
            <c:numRef>
              <c:f>PIVOT_TABLE!$F$16:$F$26</c:f>
              <c:numCache>
                <c:formatCode>General</c:formatCode>
                <c:ptCount val="10"/>
                <c:pt idx="0">
                  <c:v>17036.16</c:v>
                </c:pt>
                <c:pt idx="1">
                  <c:v>17155.669999999998</c:v>
                </c:pt>
                <c:pt idx="2">
                  <c:v>15828.87</c:v>
                </c:pt>
                <c:pt idx="3">
                  <c:v>22839.62</c:v>
                </c:pt>
                <c:pt idx="4">
                  <c:v>16359.59</c:v>
                </c:pt>
                <c:pt idx="5">
                  <c:v>22052.85</c:v>
                </c:pt>
                <c:pt idx="6">
                  <c:v>16549.650000000001</c:v>
                </c:pt>
                <c:pt idx="7">
                  <c:v>15035.36</c:v>
                </c:pt>
                <c:pt idx="8">
                  <c:v>15090.550000000001</c:v>
                </c:pt>
                <c:pt idx="9">
                  <c:v>19296.259999999998</c:v>
                </c:pt>
              </c:numCache>
            </c:numRef>
          </c:val>
          <c:extLst>
            <c:ext xmlns:c16="http://schemas.microsoft.com/office/drawing/2014/chart" uri="{C3380CC4-5D6E-409C-BE32-E72D297353CC}">
              <c16:uniqueId val="{00000000-1124-44CF-9D15-1F5E409ACC10}"/>
            </c:ext>
          </c:extLst>
        </c:ser>
        <c:dLbls>
          <c:showLegendKey val="0"/>
          <c:showVal val="0"/>
          <c:showCatName val="0"/>
          <c:showSerName val="0"/>
          <c:showPercent val="0"/>
          <c:showBubbleSize val="0"/>
        </c:dLbls>
        <c:gapWidth val="223"/>
        <c:axId val="802310184"/>
        <c:axId val="802310544"/>
      </c:barChart>
      <c:catAx>
        <c:axId val="802310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802310544"/>
        <c:crosses val="autoZero"/>
        <c:auto val="1"/>
        <c:lblAlgn val="ctr"/>
        <c:lblOffset val="100"/>
        <c:noMultiLvlLbl val="0"/>
      </c:catAx>
      <c:valAx>
        <c:axId val="802310544"/>
        <c:scaling>
          <c:orientation val="minMax"/>
        </c:scaling>
        <c:delete val="0"/>
        <c:axPos val="b"/>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802310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[Accounts-Receivable.xlsx]PIVOT_TABLE!PivotTable6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Bold" panose="020B0502040204020203" pitchFamily="34" charset="0"/>
                <a:ea typeface="+mn-ea"/>
                <a:cs typeface="+mn-cs"/>
              </a:defRPr>
            </a:pPr>
            <a:r>
              <a:rPr lang="en-US" sz="1400" b="1" i="0" u="none" strike="noStrike" baseline="0">
                <a:latin typeface="Bahnschrift SemiBold" panose="020B0502040204020203" pitchFamily="34" charset="0"/>
              </a:rPr>
              <a:t>Overdue Outstanding Amount Trend (Month-wise)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6116167842791"/>
          <c:y val="0.21842592592592591"/>
          <c:w val="0.79129540149493516"/>
          <c:h val="0.66790172061825603"/>
        </c:manualLayout>
      </c:layout>
      <c:lineChart>
        <c:grouping val="standard"/>
        <c:varyColors val="0"/>
        <c:ser>
          <c:idx val="0"/>
          <c:order val="0"/>
          <c:tx>
            <c:strRef>
              <c:f>PIVOT_TABLE!$K$3</c:f>
              <c:strCache>
                <c:ptCount val="1"/>
                <c:pt idx="0">
                  <c:v>Total</c:v>
                </c:pt>
              </c:strCache>
            </c:strRef>
          </c:tx>
          <c:spPr>
            <a:ln w="28575" cap="rnd">
              <a:solidFill>
                <a:schemeClr val="accent1">
                  <a:lumMod val="75000"/>
                </a:schemeClr>
              </a:solidFill>
              <a:round/>
            </a:ln>
            <a:effectLst/>
          </c:spPr>
          <c:marker>
            <c:symbol val="circle"/>
            <c:size val="5"/>
            <c:spPr>
              <a:solidFill>
                <a:schemeClr val="accent1"/>
              </a:solidFill>
              <a:ln w="9525">
                <a:solidFill>
                  <a:schemeClr val="accent1"/>
                </a:solidFill>
              </a:ln>
              <a:effectLst/>
            </c:spPr>
          </c:marker>
          <c:cat>
            <c:strRef>
              <c:f>PIVOT_TABLE!$J$4:$J$16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PIVOT_TABLE!$K$4:$K$16</c:f>
              <c:numCache>
                <c:formatCode>General</c:formatCode>
                <c:ptCount val="12"/>
                <c:pt idx="0">
                  <c:v>218973.06</c:v>
                </c:pt>
                <c:pt idx="1">
                  <c:v>293088.38000000006</c:v>
                </c:pt>
                <c:pt idx="2">
                  <c:v>211019.91999999998</c:v>
                </c:pt>
                <c:pt idx="3">
                  <c:v>197383.47999999998</c:v>
                </c:pt>
                <c:pt idx="4">
                  <c:v>205052.39999999997</c:v>
                </c:pt>
                <c:pt idx="5">
                  <c:v>232382.81000000006</c:v>
                </c:pt>
                <c:pt idx="6">
                  <c:v>177991.28</c:v>
                </c:pt>
                <c:pt idx="7">
                  <c:v>173442.11999999994</c:v>
                </c:pt>
                <c:pt idx="8">
                  <c:v>181739.87999999998</c:v>
                </c:pt>
                <c:pt idx="9">
                  <c:v>194379.05</c:v>
                </c:pt>
                <c:pt idx="10">
                  <c:v>170088.58999999994</c:v>
                </c:pt>
                <c:pt idx="11">
                  <c:v>130184.76</c:v>
                </c:pt>
              </c:numCache>
            </c:numRef>
          </c:val>
          <c:smooth val="0"/>
          <c:extLst>
            <c:ext xmlns:c16="http://schemas.microsoft.com/office/drawing/2014/chart" uri="{C3380CC4-5D6E-409C-BE32-E72D297353CC}">
              <c16:uniqueId val="{00000000-ED4F-481D-9784-CC5293638305}"/>
            </c:ext>
          </c:extLst>
        </c:ser>
        <c:dLbls>
          <c:showLegendKey val="0"/>
          <c:showVal val="0"/>
          <c:showCatName val="0"/>
          <c:showSerName val="0"/>
          <c:showPercent val="0"/>
          <c:showBubbleSize val="0"/>
        </c:dLbls>
        <c:marker val="1"/>
        <c:smooth val="0"/>
        <c:axId val="111547960"/>
        <c:axId val="111550480"/>
      </c:lineChart>
      <c:catAx>
        <c:axId val="111547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111550480"/>
        <c:crosses val="autoZero"/>
        <c:auto val="1"/>
        <c:lblAlgn val="ctr"/>
        <c:lblOffset val="100"/>
        <c:noMultiLvlLbl val="0"/>
      </c:catAx>
      <c:valAx>
        <c:axId val="111550480"/>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111547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jpeg"/><Relationship Id="rId3" Type="http://schemas.openxmlformats.org/officeDocument/2006/relationships/image" Target="../media/image2.svg"/><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hart" Target="../charts/chart1.xml"/><Relationship Id="rId6" Type="http://schemas.microsoft.com/office/2007/relationships/hdphoto" Target="../media/hdphoto1.wdp"/><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50940</xdr:colOff>
      <xdr:row>4</xdr:row>
      <xdr:rowOff>45892</xdr:rowOff>
    </xdr:from>
    <xdr:to>
      <xdr:col>14</xdr:col>
      <xdr:colOff>33620</xdr:colOff>
      <xdr:row>7</xdr:row>
      <xdr:rowOff>190499</xdr:rowOff>
    </xdr:to>
    <xdr:sp macro="" textlink="PIVOT_TABLE!F2">
      <xdr:nvSpPr>
        <xdr:cNvPr id="2" name="Rectangle: Rounded Corners 1">
          <a:extLst>
            <a:ext uri="{FF2B5EF4-FFF2-40B4-BE49-F238E27FC236}">
              <a16:creationId xmlns:a16="http://schemas.microsoft.com/office/drawing/2014/main" id="{F4C8B3AB-D11E-6804-F31C-7C10BB77F3C0}"/>
            </a:ext>
          </a:extLst>
        </xdr:cNvPr>
        <xdr:cNvSpPr/>
      </xdr:nvSpPr>
      <xdr:spPr>
        <a:xfrm>
          <a:off x="5250469" y="807892"/>
          <a:ext cx="2403151" cy="716107"/>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Bell MT" panose="02020503060305020303" pitchFamily="18" charset="0"/>
              <a:ea typeface="Yu Gothic UI Semibold" panose="020B0700000000000000" pitchFamily="34" charset="-128"/>
              <a:cs typeface="Arial" panose="020B0604020202020204" pitchFamily="34" charset="0"/>
            </a:rPr>
            <a:t>         </a:t>
          </a:r>
          <a:r>
            <a:rPr lang="en-US" sz="1200" b="0" i="0" u="none" strike="noStrike">
              <a:solidFill>
                <a:srgbClr val="000000"/>
              </a:solidFill>
              <a:latin typeface="Bell MT" panose="02020503060305020303" pitchFamily="18" charset="0"/>
              <a:ea typeface="Yu Gothic UI Semibold" panose="020B0700000000000000" pitchFamily="34" charset="-128"/>
              <a:cs typeface="Arial" panose="020B0604020202020204" pitchFamily="34" charset="0"/>
            </a:rPr>
            <a:t>Day Sales</a:t>
          </a:r>
          <a:r>
            <a:rPr lang="en-US" sz="1200" b="0" i="0" u="none" strike="noStrike" baseline="0">
              <a:solidFill>
                <a:srgbClr val="000000"/>
              </a:solidFill>
              <a:latin typeface="Bell MT" panose="02020503060305020303" pitchFamily="18" charset="0"/>
              <a:ea typeface="Yu Gothic UI Semibold" panose="020B0700000000000000" pitchFamily="34" charset="-128"/>
              <a:cs typeface="Arial" panose="020B0604020202020204" pitchFamily="34" charset="0"/>
            </a:rPr>
            <a:t> Outstanding</a:t>
          </a:r>
          <a:endParaRPr lang="en-US" sz="1400" b="0" i="0" u="none" strike="noStrike" baseline="0">
            <a:solidFill>
              <a:srgbClr val="000000"/>
            </a:solidFill>
            <a:latin typeface="Bell MT" panose="02020503060305020303" pitchFamily="18" charset="0"/>
            <a:ea typeface="Yu Gothic UI Semibold" panose="020B0700000000000000" pitchFamily="34" charset="-128"/>
            <a:cs typeface="Arial" panose="020B0604020202020204" pitchFamily="34" charset="0"/>
          </a:endParaRPr>
        </a:p>
        <a:p>
          <a:pPr algn="l"/>
          <a:r>
            <a:rPr lang="en-US" sz="1200" b="0" i="0" u="none" strike="noStrike">
              <a:solidFill>
                <a:srgbClr val="000000"/>
              </a:solidFill>
              <a:latin typeface="Arial Black" panose="020B0A04020102020204" pitchFamily="34" charset="0"/>
              <a:ea typeface="Yu Gothic UI Semibold" panose="020B0700000000000000" pitchFamily="34" charset="-128"/>
              <a:cs typeface="Calibri"/>
            </a:rPr>
            <a:t>        </a:t>
          </a:r>
          <a:fld id="{54F925E5-1215-4C69-9193-13FF5AE28D77}" type="TxLink">
            <a:rPr lang="en-US" sz="2000" b="0" i="0" u="none" strike="noStrike">
              <a:solidFill>
                <a:srgbClr val="000000"/>
              </a:solidFill>
              <a:latin typeface="+mj-lt"/>
              <a:ea typeface="Yu Gothic UI Semibold" panose="020B0700000000000000" pitchFamily="34" charset="-128"/>
              <a:cs typeface="Calibri"/>
            </a:rPr>
            <a:pPr algn="l"/>
            <a:t>242</a:t>
          </a:fld>
          <a:endParaRPr lang="en-US" sz="1400" b="0">
            <a:latin typeface="+mj-lt"/>
            <a:ea typeface="Yu Gothic UI Semibold" panose="020B0700000000000000" pitchFamily="34" charset="-128"/>
          </a:endParaRPr>
        </a:p>
      </xdr:txBody>
    </xdr:sp>
    <xdr:clientData/>
  </xdr:twoCellAnchor>
  <xdr:twoCellAnchor>
    <xdr:from>
      <xdr:col>5</xdr:col>
      <xdr:colOff>9459</xdr:colOff>
      <xdr:row>4</xdr:row>
      <xdr:rowOff>29307</xdr:rowOff>
    </xdr:from>
    <xdr:to>
      <xdr:col>9</xdr:col>
      <xdr:colOff>7327</xdr:colOff>
      <xdr:row>8</xdr:row>
      <xdr:rowOff>0</xdr:rowOff>
    </xdr:to>
    <xdr:sp macro="" textlink="PIVOT_TABLE!H2">
      <xdr:nvSpPr>
        <xdr:cNvPr id="3" name="Rectangle: Rounded Corners 2">
          <a:extLst>
            <a:ext uri="{FF2B5EF4-FFF2-40B4-BE49-F238E27FC236}">
              <a16:creationId xmlns:a16="http://schemas.microsoft.com/office/drawing/2014/main" id="{02C4A9EC-A4B8-4E22-9777-109C6BC0BE68}"/>
            </a:ext>
          </a:extLst>
        </xdr:cNvPr>
        <xdr:cNvSpPr/>
      </xdr:nvSpPr>
      <xdr:spPr>
        <a:xfrm>
          <a:off x="2609224" y="791307"/>
          <a:ext cx="2418338" cy="732693"/>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baseline="0">
              <a:solidFill>
                <a:srgbClr val="000000"/>
              </a:solidFill>
              <a:latin typeface="Bell MT" panose="02020503060305020303" pitchFamily="18" charset="0"/>
              <a:ea typeface="Yu Gothic UI Semibold" panose="020B0700000000000000" pitchFamily="34" charset="-128"/>
              <a:cs typeface="Calibri"/>
            </a:rPr>
            <a:t>        </a:t>
          </a:r>
          <a:r>
            <a:rPr lang="en-US" sz="1000" b="0" i="0" u="none" strike="noStrike" baseline="0">
              <a:solidFill>
                <a:srgbClr val="000000"/>
              </a:solidFill>
              <a:latin typeface="Bell MT" panose="02020503060305020303" pitchFamily="18" charset="0"/>
              <a:ea typeface="Yu Gothic UI Semibold" panose="020B0700000000000000" pitchFamily="34" charset="-128"/>
              <a:cs typeface="Calibri"/>
            </a:rPr>
            <a:t>Overdue AR (% Of Outstanding )</a:t>
          </a:r>
          <a:endParaRPr lang="en-US" sz="1600" b="0" i="0" u="none" strike="noStrike" baseline="0">
            <a:solidFill>
              <a:srgbClr val="000000"/>
            </a:solidFill>
            <a:latin typeface="Bell MT" panose="02020503060305020303" pitchFamily="18" charset="0"/>
            <a:ea typeface="Yu Gothic UI Semibold" panose="020B0700000000000000" pitchFamily="34" charset="-128"/>
            <a:cs typeface="Calibri"/>
          </a:endParaRPr>
        </a:p>
        <a:p>
          <a:pPr algn="l"/>
          <a:r>
            <a:rPr lang="en-US" sz="1600" b="0" i="0" u="none" strike="noStrike" baseline="0">
              <a:solidFill>
                <a:srgbClr val="000000"/>
              </a:solidFill>
              <a:latin typeface="+mj-lt"/>
              <a:ea typeface="Yu Gothic UI Semibold" panose="020B0700000000000000" pitchFamily="34" charset="-128"/>
              <a:cs typeface="Calibri"/>
            </a:rPr>
            <a:t>          </a:t>
          </a:r>
          <a:fld id="{1BB9C4A6-AEA6-41F9-A725-C8D6621E02CC}" type="TxLink">
            <a:rPr lang="en-US" sz="2000" b="0" i="0" u="none" strike="noStrike" baseline="0">
              <a:solidFill>
                <a:srgbClr val="000000"/>
              </a:solidFill>
              <a:latin typeface="+mj-lt"/>
              <a:ea typeface="Yu Gothic UI Semibold" panose="020B0700000000000000" pitchFamily="34" charset="-128"/>
              <a:cs typeface="Calibri"/>
            </a:rPr>
            <a:pPr algn="l"/>
            <a:t>100%</a:t>
          </a:fld>
          <a:endParaRPr lang="en-US" sz="1800" b="0" i="0" u="none" strike="noStrike" baseline="0">
            <a:solidFill>
              <a:srgbClr val="000000"/>
            </a:solidFill>
            <a:latin typeface="+mj-lt"/>
            <a:ea typeface="Yu Gothic UI Semibold" panose="020B0700000000000000" pitchFamily="34" charset="-128"/>
            <a:cs typeface="Calibri"/>
          </a:endParaRPr>
        </a:p>
      </xdr:txBody>
    </xdr:sp>
    <xdr:clientData/>
  </xdr:twoCellAnchor>
  <xdr:twoCellAnchor>
    <xdr:from>
      <xdr:col>15</xdr:col>
      <xdr:colOff>18452</xdr:colOff>
      <xdr:row>4</xdr:row>
      <xdr:rowOff>45427</xdr:rowOff>
    </xdr:from>
    <xdr:to>
      <xdr:col>18</xdr:col>
      <xdr:colOff>593481</xdr:colOff>
      <xdr:row>8</xdr:row>
      <xdr:rowOff>0</xdr:rowOff>
    </xdr:to>
    <xdr:sp macro="" textlink="PIVOT_TABLE!D2">
      <xdr:nvSpPr>
        <xdr:cNvPr id="4" name="Rectangle: Rounded Corners 3">
          <a:extLst>
            <a:ext uri="{FF2B5EF4-FFF2-40B4-BE49-F238E27FC236}">
              <a16:creationId xmlns:a16="http://schemas.microsoft.com/office/drawing/2014/main" id="{0D523D98-8C38-4D5D-B98F-B562B41831E3}"/>
            </a:ext>
          </a:extLst>
        </xdr:cNvPr>
        <xdr:cNvSpPr/>
      </xdr:nvSpPr>
      <xdr:spPr>
        <a:xfrm>
          <a:off x="7817746" y="807427"/>
          <a:ext cx="2390382" cy="716573"/>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Bell MT" panose="02020503060305020303" pitchFamily="18" charset="0"/>
              <a:ea typeface="Yu Gothic UI Semibold" panose="020B0700000000000000" pitchFamily="34" charset="-128"/>
              <a:cs typeface="Calibri"/>
            </a:rPr>
            <a:t>         </a:t>
          </a:r>
          <a:r>
            <a:rPr lang="en-US" sz="1100" b="0" i="0" u="none" strike="noStrike">
              <a:solidFill>
                <a:srgbClr val="000000"/>
              </a:solidFill>
              <a:latin typeface="Bell MT" panose="02020503060305020303" pitchFamily="18" charset="0"/>
              <a:ea typeface="Yu Gothic UI Semibold" panose="020B0700000000000000" pitchFamily="34" charset="-128"/>
              <a:cs typeface="Calibri"/>
            </a:rPr>
            <a:t>High</a:t>
          </a:r>
          <a:r>
            <a:rPr lang="en-US" sz="1100" b="0" i="0" u="none" strike="noStrike" baseline="0">
              <a:solidFill>
                <a:srgbClr val="000000"/>
              </a:solidFill>
              <a:latin typeface="Bell MT" panose="02020503060305020303" pitchFamily="18" charset="0"/>
              <a:ea typeface="Yu Gothic UI Semibold" panose="020B0700000000000000" pitchFamily="34" charset="-128"/>
              <a:cs typeface="Calibri"/>
            </a:rPr>
            <a:t> Risk AR (% Of Overdue)</a:t>
          </a:r>
          <a:endParaRPr lang="en-US" sz="1400" b="0" i="0" u="none" strike="noStrike" baseline="0">
            <a:solidFill>
              <a:srgbClr val="000000"/>
            </a:solidFill>
            <a:latin typeface="Bell MT" panose="02020503060305020303" pitchFamily="18" charset="0"/>
            <a:ea typeface="Yu Gothic UI Semibold" panose="020B0700000000000000" pitchFamily="34" charset="-128"/>
            <a:cs typeface="Calibri"/>
          </a:endParaRPr>
        </a:p>
        <a:p>
          <a:pPr algn="l"/>
          <a:r>
            <a:rPr lang="en-US" sz="1400" b="0" i="0" u="none" strike="noStrike">
              <a:solidFill>
                <a:srgbClr val="000000"/>
              </a:solidFill>
              <a:latin typeface="+mj-lt"/>
              <a:ea typeface="Yu Gothic UI Semibold" panose="020B0700000000000000" pitchFamily="34" charset="-128"/>
              <a:cs typeface="Calibri"/>
            </a:rPr>
            <a:t>          </a:t>
          </a:r>
          <a:fld id="{63AE970E-00DC-41E4-8442-A34C104EB717}" type="TxLink">
            <a:rPr lang="en-US" sz="2000" b="0" i="0" u="none" strike="noStrike">
              <a:solidFill>
                <a:srgbClr val="000000"/>
              </a:solidFill>
              <a:latin typeface="+mj-lt"/>
              <a:ea typeface="Yu Gothic UI Semibold" panose="020B0700000000000000" pitchFamily="34" charset="-128"/>
              <a:cs typeface="Calibri"/>
            </a:rPr>
            <a:pPr algn="l"/>
            <a:t>100%</a:t>
          </a:fld>
          <a:endParaRPr lang="en-US" sz="1800">
            <a:latin typeface="+mj-lt"/>
            <a:ea typeface="Yu Gothic UI Semibold" panose="020B0700000000000000" pitchFamily="34" charset="-128"/>
          </a:endParaRPr>
        </a:p>
      </xdr:txBody>
    </xdr:sp>
    <xdr:clientData/>
  </xdr:twoCellAnchor>
  <xdr:twoCellAnchor>
    <xdr:from>
      <xdr:col>0</xdr:col>
      <xdr:colOff>11206</xdr:colOff>
      <xdr:row>4</xdr:row>
      <xdr:rowOff>45894</xdr:rowOff>
    </xdr:from>
    <xdr:to>
      <xdr:col>4</xdr:col>
      <xdr:colOff>1633</xdr:colOff>
      <xdr:row>8</xdr:row>
      <xdr:rowOff>1</xdr:rowOff>
    </xdr:to>
    <xdr:sp macro="" textlink="Sheet1!B2">
      <xdr:nvSpPr>
        <xdr:cNvPr id="6" name="Rectangle: Rounded Corners 5">
          <a:extLst>
            <a:ext uri="{FF2B5EF4-FFF2-40B4-BE49-F238E27FC236}">
              <a16:creationId xmlns:a16="http://schemas.microsoft.com/office/drawing/2014/main" id="{D9396982-D359-45FF-9865-D99918956002}"/>
            </a:ext>
          </a:extLst>
        </xdr:cNvPr>
        <xdr:cNvSpPr/>
      </xdr:nvSpPr>
      <xdr:spPr>
        <a:xfrm>
          <a:off x="11206" y="807894"/>
          <a:ext cx="2410898" cy="716107"/>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baseline="0">
              <a:solidFill>
                <a:srgbClr val="000000"/>
              </a:solidFill>
              <a:latin typeface="Calibri"/>
              <a:ea typeface="Yu Gothic UI Semibold" panose="020B0700000000000000" pitchFamily="34" charset="-128"/>
              <a:cs typeface="Calibri"/>
            </a:rPr>
            <a:t>              </a:t>
          </a:r>
          <a:r>
            <a:rPr lang="en-US" sz="1200" b="0" i="0" u="none" strike="noStrike" baseline="0">
              <a:solidFill>
                <a:srgbClr val="000000"/>
              </a:solidFill>
              <a:latin typeface="Bell MT" panose="02020503060305020303" pitchFamily="18" charset="0"/>
              <a:ea typeface="Yu Gothic UI Semibold" panose="020B0700000000000000" pitchFamily="34" charset="-128"/>
              <a:cs typeface="Calibri"/>
            </a:rPr>
            <a:t>Total Outstanding AR</a:t>
          </a:r>
          <a:endParaRPr lang="en-US" sz="1100" b="0" i="0" u="none" strike="noStrike" baseline="0">
            <a:solidFill>
              <a:srgbClr val="000000"/>
            </a:solidFill>
            <a:latin typeface="Bell MT" panose="02020503060305020303" pitchFamily="18" charset="0"/>
            <a:ea typeface="Yu Gothic UI Semibold" panose="020B0700000000000000" pitchFamily="34" charset="-128"/>
            <a:cs typeface="Calibri"/>
          </a:endParaRPr>
        </a:p>
        <a:p>
          <a:pPr algn="l"/>
          <a:r>
            <a:rPr lang="en-US" sz="1100" b="0" i="0" u="none" strike="noStrike" baseline="0">
              <a:solidFill>
                <a:srgbClr val="000000"/>
              </a:solidFill>
              <a:latin typeface="Calibri"/>
              <a:ea typeface="Yu Gothic UI Semibold" panose="020B0700000000000000" pitchFamily="34" charset="-128"/>
              <a:cs typeface="Calibri"/>
            </a:rPr>
            <a:t>               </a:t>
          </a:r>
          <a:fld id="{D7D1440F-E7CE-4D5A-9F57-BB4CF1B55C1F}" type="TxLink">
            <a:rPr lang="en-US" sz="2000" b="0" i="0" u="none" strike="noStrike" baseline="0">
              <a:solidFill>
                <a:srgbClr val="000000"/>
              </a:solidFill>
              <a:latin typeface="+mj-lt"/>
              <a:ea typeface="Yu Gothic UI Semibold" panose="020B0700000000000000" pitchFamily="34" charset="-128"/>
              <a:cs typeface="Calibri"/>
            </a:rPr>
            <a:pPr algn="l"/>
            <a:t>₹ 2,385,726</a:t>
          </a:fld>
          <a:endParaRPr lang="en-US" sz="1600" b="0" i="0" u="none" strike="noStrike" baseline="0">
            <a:solidFill>
              <a:srgbClr val="000000"/>
            </a:solidFill>
            <a:latin typeface="+mj-lt"/>
            <a:ea typeface="Yu Gothic UI Semibold" panose="020B0700000000000000" pitchFamily="34" charset="-128"/>
            <a:cs typeface="Calibri"/>
          </a:endParaRPr>
        </a:p>
      </xdr:txBody>
    </xdr:sp>
    <xdr:clientData/>
  </xdr:twoCellAnchor>
  <xdr:twoCellAnchor>
    <xdr:from>
      <xdr:col>0</xdr:col>
      <xdr:colOff>132290</xdr:colOff>
      <xdr:row>12</xdr:row>
      <xdr:rowOff>32039</xdr:rowOff>
    </xdr:from>
    <xdr:to>
      <xdr:col>10</xdr:col>
      <xdr:colOff>5602</xdr:colOff>
      <xdr:row>26</xdr:row>
      <xdr:rowOff>0</xdr:rowOff>
    </xdr:to>
    <xdr:graphicFrame macro="">
      <xdr:nvGraphicFramePr>
        <xdr:cNvPr id="7" name="Chart 6">
          <a:extLst>
            <a:ext uri="{FF2B5EF4-FFF2-40B4-BE49-F238E27FC236}">
              <a16:creationId xmlns:a16="http://schemas.microsoft.com/office/drawing/2014/main" id="{BCF89993-F31F-4CC0-97BA-76D4D186F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8659</xdr:colOff>
      <xdr:row>0</xdr:row>
      <xdr:rowOff>8659</xdr:rowOff>
    </xdr:from>
    <xdr:to>
      <xdr:col>20</xdr:col>
      <xdr:colOff>414618</xdr:colOff>
      <xdr:row>4</xdr:row>
      <xdr:rowOff>25977</xdr:rowOff>
    </xdr:to>
    <xdr:sp macro="" textlink="">
      <xdr:nvSpPr>
        <xdr:cNvPr id="8" name="TextBox 7">
          <a:extLst>
            <a:ext uri="{FF2B5EF4-FFF2-40B4-BE49-F238E27FC236}">
              <a16:creationId xmlns:a16="http://schemas.microsoft.com/office/drawing/2014/main" id="{229F6209-BF99-C4E8-F264-A782559DEC1E}"/>
            </a:ext>
          </a:extLst>
        </xdr:cNvPr>
        <xdr:cNvSpPr txBox="1"/>
      </xdr:nvSpPr>
      <xdr:spPr>
        <a:xfrm>
          <a:off x="8659" y="8659"/>
          <a:ext cx="11230841" cy="779318"/>
        </a:xfrm>
        <a:prstGeom prst="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latin typeface="+mn-lt"/>
            </a:rPr>
            <a:t>             Accounts Receivable Dashboard</a:t>
          </a:r>
        </a:p>
      </xdr:txBody>
    </xdr:sp>
    <xdr:clientData/>
  </xdr:twoCellAnchor>
  <xdr:twoCellAnchor editAs="oneCell">
    <xdr:from>
      <xdr:col>0</xdr:col>
      <xdr:colOff>8659</xdr:colOff>
      <xdr:row>0</xdr:row>
      <xdr:rowOff>0</xdr:rowOff>
    </xdr:from>
    <xdr:to>
      <xdr:col>1</xdr:col>
      <xdr:colOff>316923</xdr:colOff>
      <xdr:row>4</xdr:row>
      <xdr:rowOff>86591</xdr:rowOff>
    </xdr:to>
    <xdr:pic>
      <xdr:nvPicPr>
        <xdr:cNvPr id="12" name="Graphic 11" descr="Business Growth with solid fill">
          <a:extLst>
            <a:ext uri="{FF2B5EF4-FFF2-40B4-BE49-F238E27FC236}">
              <a16:creationId xmlns:a16="http://schemas.microsoft.com/office/drawing/2014/main" id="{CFA4EEB3-A281-9F09-D000-69EBF1F5086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59" y="0"/>
          <a:ext cx="914400" cy="848591"/>
        </a:xfrm>
        <a:prstGeom prst="rect">
          <a:avLst/>
        </a:prstGeom>
      </xdr:spPr>
    </xdr:pic>
    <xdr:clientData/>
  </xdr:twoCellAnchor>
  <xdr:twoCellAnchor editAs="oneCell">
    <xdr:from>
      <xdr:col>10</xdr:col>
      <xdr:colOff>78443</xdr:colOff>
      <xdr:row>4</xdr:row>
      <xdr:rowOff>177258</xdr:rowOff>
    </xdr:from>
    <xdr:to>
      <xdr:col>10</xdr:col>
      <xdr:colOff>537375</xdr:colOff>
      <xdr:row>7</xdr:row>
      <xdr:rowOff>64689</xdr:rowOff>
    </xdr:to>
    <xdr:pic>
      <xdr:nvPicPr>
        <xdr:cNvPr id="16" name="Picture 15">
          <a:extLst>
            <a:ext uri="{FF2B5EF4-FFF2-40B4-BE49-F238E27FC236}">
              <a16:creationId xmlns:a16="http://schemas.microsoft.com/office/drawing/2014/main" id="{1566B30E-6AB2-A0B9-8227-D29EBB7DDF3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13947"/>
        <a:stretch>
          <a:fillRect/>
        </a:stretch>
      </xdr:blipFill>
      <xdr:spPr>
        <a:xfrm>
          <a:off x="5277972" y="939258"/>
          <a:ext cx="458932" cy="458931"/>
        </a:xfrm>
        <a:prstGeom prst="rect">
          <a:avLst/>
        </a:prstGeom>
      </xdr:spPr>
    </xdr:pic>
    <xdr:clientData/>
  </xdr:twoCellAnchor>
  <xdr:twoCellAnchor editAs="oneCell">
    <xdr:from>
      <xdr:col>5</xdr:col>
      <xdr:colOff>48375</xdr:colOff>
      <xdr:row>4</xdr:row>
      <xdr:rowOff>154532</xdr:rowOff>
    </xdr:from>
    <xdr:to>
      <xdr:col>5</xdr:col>
      <xdr:colOff>532201</xdr:colOff>
      <xdr:row>7</xdr:row>
      <xdr:rowOff>87923</xdr:rowOff>
    </xdr:to>
    <xdr:pic>
      <xdr:nvPicPr>
        <xdr:cNvPr id="18" name="Picture 17">
          <a:extLst>
            <a:ext uri="{FF2B5EF4-FFF2-40B4-BE49-F238E27FC236}">
              <a16:creationId xmlns:a16="http://schemas.microsoft.com/office/drawing/2014/main" id="{1A9619B3-AC98-0306-5B2E-840EA11B6AF1}"/>
            </a:ext>
          </a:extLst>
        </xdr:cNvPr>
        <xdr:cNvPicPr>
          <a:picLocks noChangeAspect="1"/>
        </xdr:cNvPicPr>
      </xdr:nvPicPr>
      <xdr:blipFill>
        <a:blip xmlns:r="http://schemas.openxmlformats.org/officeDocument/2006/relationships" r:embed="rId5" cstate="print">
          <a:biLevel thresh="75000"/>
          <a:extLst>
            <a:ext uri="{BEBA8EAE-BF5A-486C-A8C5-ECC9F3942E4B}">
              <a14:imgProps xmlns:a14="http://schemas.microsoft.com/office/drawing/2010/main">
                <a14:imgLayer r:embed="rId6">
                  <a14:imgEffect>
                    <a14:colorTemperature colorTemp="112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2730029" y="916532"/>
          <a:ext cx="483826" cy="504891"/>
        </a:xfrm>
        <a:prstGeom prst="rect">
          <a:avLst/>
        </a:prstGeom>
      </xdr:spPr>
    </xdr:pic>
    <xdr:clientData/>
  </xdr:twoCellAnchor>
  <xdr:twoCellAnchor editAs="oneCell">
    <xdr:from>
      <xdr:col>0</xdr:col>
      <xdr:colOff>0</xdr:colOff>
      <xdr:row>4</xdr:row>
      <xdr:rowOff>104692</xdr:rowOff>
    </xdr:from>
    <xdr:to>
      <xdr:col>0</xdr:col>
      <xdr:colOff>554182</xdr:colOff>
      <xdr:row>7</xdr:row>
      <xdr:rowOff>62062</xdr:rowOff>
    </xdr:to>
    <xdr:pic>
      <xdr:nvPicPr>
        <xdr:cNvPr id="20" name="Picture 19">
          <a:extLst>
            <a:ext uri="{FF2B5EF4-FFF2-40B4-BE49-F238E27FC236}">
              <a16:creationId xmlns:a16="http://schemas.microsoft.com/office/drawing/2014/main" id="{EE5B9A7F-C1E1-4BF4-35FA-2E2B071FFA73}"/>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b="17957"/>
        <a:stretch>
          <a:fillRect/>
        </a:stretch>
      </xdr:blipFill>
      <xdr:spPr>
        <a:xfrm>
          <a:off x="0" y="866692"/>
          <a:ext cx="554182" cy="528870"/>
        </a:xfrm>
        <a:prstGeom prst="rect">
          <a:avLst/>
        </a:prstGeom>
      </xdr:spPr>
    </xdr:pic>
    <xdr:clientData/>
  </xdr:twoCellAnchor>
  <xdr:twoCellAnchor editAs="oneCell">
    <xdr:from>
      <xdr:col>15</xdr:col>
      <xdr:colOff>87923</xdr:colOff>
      <xdr:row>4</xdr:row>
      <xdr:rowOff>56232</xdr:rowOff>
    </xdr:from>
    <xdr:to>
      <xdr:col>15</xdr:col>
      <xdr:colOff>490904</xdr:colOff>
      <xdr:row>7</xdr:row>
      <xdr:rowOff>130575</xdr:rowOff>
    </xdr:to>
    <xdr:pic>
      <xdr:nvPicPr>
        <xdr:cNvPr id="22" name="Picture 21">
          <a:extLst>
            <a:ext uri="{FF2B5EF4-FFF2-40B4-BE49-F238E27FC236}">
              <a16:creationId xmlns:a16="http://schemas.microsoft.com/office/drawing/2014/main" id="{D42B40AE-4B50-2080-BB4F-D7345A3CFCB9}"/>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48741" r="8619"/>
        <a:stretch>
          <a:fillRect/>
        </a:stretch>
      </xdr:blipFill>
      <xdr:spPr>
        <a:xfrm>
          <a:off x="8125558" y="818232"/>
          <a:ext cx="402981" cy="645843"/>
        </a:xfrm>
        <a:prstGeom prst="rect">
          <a:avLst/>
        </a:prstGeom>
      </xdr:spPr>
    </xdr:pic>
    <xdr:clientData/>
  </xdr:twoCellAnchor>
  <xdr:twoCellAnchor>
    <xdr:from>
      <xdr:col>10</xdr:col>
      <xdr:colOff>32373</xdr:colOff>
      <xdr:row>12</xdr:row>
      <xdr:rowOff>16746</xdr:rowOff>
    </xdr:from>
    <xdr:to>
      <xdr:col>19</xdr:col>
      <xdr:colOff>12451</xdr:colOff>
      <xdr:row>26</xdr:row>
      <xdr:rowOff>0</xdr:rowOff>
    </xdr:to>
    <xdr:graphicFrame macro="">
      <xdr:nvGraphicFramePr>
        <xdr:cNvPr id="44" name="Chart 43">
          <a:extLst>
            <a:ext uri="{FF2B5EF4-FFF2-40B4-BE49-F238E27FC236}">
              <a16:creationId xmlns:a16="http://schemas.microsoft.com/office/drawing/2014/main" id="{B85BE5C9-CEC8-4820-973F-D374944F7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55408</xdr:colOff>
      <xdr:row>26</xdr:row>
      <xdr:rowOff>38538</xdr:rowOff>
    </xdr:from>
    <xdr:to>
      <xdr:col>18</xdr:col>
      <xdr:colOff>610658</xdr:colOff>
      <xdr:row>40</xdr:row>
      <xdr:rowOff>42334</xdr:rowOff>
    </xdr:to>
    <xdr:graphicFrame macro="">
      <xdr:nvGraphicFramePr>
        <xdr:cNvPr id="45" name="Chart 44">
          <a:extLst>
            <a:ext uri="{FF2B5EF4-FFF2-40B4-BE49-F238E27FC236}">
              <a16:creationId xmlns:a16="http://schemas.microsoft.com/office/drawing/2014/main" id="{6AACC281-B6D9-4CD5-8158-09AA0E4F8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128866</xdr:colOff>
      <xdr:row>26</xdr:row>
      <xdr:rowOff>21789</xdr:rowOff>
    </xdr:from>
    <xdr:to>
      <xdr:col>10</xdr:col>
      <xdr:colOff>4980</xdr:colOff>
      <xdr:row>40</xdr:row>
      <xdr:rowOff>32995</xdr:rowOff>
    </xdr:to>
    <xdr:graphicFrame macro="">
      <xdr:nvGraphicFramePr>
        <xdr:cNvPr id="46" name="Chart 45">
          <a:extLst>
            <a:ext uri="{FF2B5EF4-FFF2-40B4-BE49-F238E27FC236}">
              <a16:creationId xmlns:a16="http://schemas.microsoft.com/office/drawing/2014/main" id="{50B3D9F4-9EFD-42CA-AA80-5B71AC5AC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33617</xdr:colOff>
      <xdr:row>4</xdr:row>
      <xdr:rowOff>44824</xdr:rowOff>
    </xdr:from>
    <xdr:to>
      <xdr:col>20</xdr:col>
      <xdr:colOff>425823</xdr:colOff>
      <xdr:row>22</xdr:row>
      <xdr:rowOff>11206</xdr:rowOff>
    </xdr:to>
    <mc:AlternateContent xmlns:mc="http://schemas.openxmlformats.org/markup-compatibility/2006" xmlns:a14="http://schemas.microsoft.com/office/drawing/2010/main">
      <mc:Choice Requires="a14">
        <xdr:graphicFrame macro="">
          <xdr:nvGraphicFramePr>
            <xdr:cNvPr id="47" name="Customer">
              <a:extLst>
                <a:ext uri="{FF2B5EF4-FFF2-40B4-BE49-F238E27FC236}">
                  <a16:creationId xmlns:a16="http://schemas.microsoft.com/office/drawing/2014/main" id="{49A51185-6E87-42C7-B5D3-0303A34EF56E}"/>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0394700" y="806824"/>
              <a:ext cx="1006040" cy="3395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39220</xdr:colOff>
      <xdr:row>22</xdr:row>
      <xdr:rowOff>61633</xdr:rowOff>
    </xdr:from>
    <xdr:to>
      <xdr:col>20</xdr:col>
      <xdr:colOff>425824</xdr:colOff>
      <xdr:row>40</xdr:row>
      <xdr:rowOff>42333</xdr:rowOff>
    </xdr:to>
    <mc:AlternateContent xmlns:mc="http://schemas.openxmlformats.org/markup-compatibility/2006" xmlns:a14="http://schemas.microsoft.com/office/drawing/2010/main">
      <mc:Choice Requires="a14">
        <xdr:graphicFrame macro="">
          <xdr:nvGraphicFramePr>
            <xdr:cNvPr id="48" name="Years (Invoice Date)">
              <a:extLst>
                <a:ext uri="{FF2B5EF4-FFF2-40B4-BE49-F238E27FC236}">
                  <a16:creationId xmlns:a16="http://schemas.microsoft.com/office/drawing/2014/main" id="{72463DDA-4544-47FB-BA51-91D84E6D694E}"/>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0400303" y="4252633"/>
              <a:ext cx="1000438" cy="3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10584</xdr:colOff>
      <xdr:row>8</xdr:row>
      <xdr:rowOff>116417</xdr:rowOff>
    </xdr:from>
    <xdr:to>
      <xdr:col>18</xdr:col>
      <xdr:colOff>571500</xdr:colOff>
      <xdr:row>11</xdr:row>
      <xdr:rowOff>84667</xdr:rowOff>
    </xdr:to>
    <xdr:sp macro="" textlink="">
      <xdr:nvSpPr>
        <xdr:cNvPr id="51" name="TextBox 50">
          <a:extLst>
            <a:ext uri="{FF2B5EF4-FFF2-40B4-BE49-F238E27FC236}">
              <a16:creationId xmlns:a16="http://schemas.microsoft.com/office/drawing/2014/main" id="{2A4302AC-11A9-0E1F-897E-A9E36E955142}"/>
            </a:ext>
          </a:extLst>
        </xdr:cNvPr>
        <xdr:cNvSpPr txBox="1"/>
      </xdr:nvSpPr>
      <xdr:spPr>
        <a:xfrm>
          <a:off x="10584" y="1640417"/>
          <a:ext cx="10308166" cy="5397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mn-lt"/>
            </a:rPr>
            <a:t>KPIs: Based on current open AR balances</a:t>
          </a:r>
        </a:p>
      </xdr:txBody>
    </xdr:sp>
    <xdr:clientData/>
  </xdr:twoCellAnchor>
  <xdr:twoCellAnchor>
    <xdr:from>
      <xdr:col>0</xdr:col>
      <xdr:colOff>136071</xdr:colOff>
      <xdr:row>41</xdr:row>
      <xdr:rowOff>68036</xdr:rowOff>
    </xdr:from>
    <xdr:to>
      <xdr:col>20</xdr:col>
      <xdr:colOff>449036</xdr:colOff>
      <xdr:row>45</xdr:row>
      <xdr:rowOff>122464</xdr:rowOff>
    </xdr:to>
    <xdr:sp macro="" textlink="">
      <xdr:nvSpPr>
        <xdr:cNvPr id="5" name="TextBox 4">
          <a:extLst>
            <a:ext uri="{FF2B5EF4-FFF2-40B4-BE49-F238E27FC236}">
              <a16:creationId xmlns:a16="http://schemas.microsoft.com/office/drawing/2014/main" id="{646D71BE-99F5-FBCC-C76E-3C37BC7CE3CD}"/>
            </a:ext>
          </a:extLst>
        </xdr:cNvPr>
        <xdr:cNvSpPr txBox="1"/>
      </xdr:nvSpPr>
      <xdr:spPr>
        <a:xfrm>
          <a:off x="136071" y="7878536"/>
          <a:ext cx="11253108" cy="816428"/>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n-lt"/>
            </a:rPr>
            <a:t>Majority of overdue amount lies in 365+ days bucket, indicating potential bad-debt risk and need for aggressive collections.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Enterprises" refreshedDate="46050.11987962963" createdVersion="8" refreshedVersion="8" minRefreshableVersion="3" recordCount="900" xr:uid="{C5879736-0C05-4916-916E-8C7466D67FB4}">
  <cacheSource type="worksheet">
    <worksheetSource ref="A1:Q901" sheet="DATASET"/>
  </cacheSource>
  <cacheFields count="20">
    <cacheField name="ARID" numFmtId="0">
      <sharedItems/>
    </cacheField>
    <cacheField name="Customer" numFmtId="0">
      <sharedItems count="5">
        <s v="Soylent"/>
        <s v="Umbrella"/>
        <s v="Acme"/>
        <s v="Initech"/>
        <s v="Globex"/>
      </sharedItems>
    </cacheField>
    <cacheField name="Invoice Date" numFmtId="14">
      <sharedItems containsSemiMixedTypes="0" containsNonDate="0" containsDate="1" containsString="0" minDate="2023-01-01T00:00:00" maxDate="2025-06-30T00:00:00" count="572">
        <d v="2023-08-19T00:00:00"/>
        <d v="2025-04-01T00:00:00"/>
        <d v="2024-12-25T00:00:00"/>
        <d v="2023-05-08T00:00:00"/>
        <d v="2024-08-07T00:00:00"/>
        <d v="2023-05-29T00:00:00"/>
        <d v="2023-10-22T00:00:00"/>
        <d v="2023-11-03T00:00:00"/>
        <d v="2025-01-05T00:00:00"/>
        <d v="2023-12-11T00:00:00"/>
        <d v="2023-08-25T00:00:00"/>
        <d v="2024-12-05T00:00:00"/>
        <d v="2024-06-23T00:00:00"/>
        <d v="2025-03-04T00:00:00"/>
        <d v="2023-04-29T00:00:00"/>
        <d v="2025-04-29T00:00:00"/>
        <d v="2025-05-16T00:00:00"/>
        <d v="2024-01-29T00:00:00"/>
        <d v="2024-04-09T00:00:00"/>
        <d v="2024-05-08T00:00:00"/>
        <d v="2024-08-12T00:00:00"/>
        <d v="2024-07-08T00:00:00"/>
        <d v="2023-07-14T00:00:00"/>
        <d v="2023-09-04T00:00:00"/>
        <d v="2023-07-08T00:00:00"/>
        <d v="2023-03-02T00:00:00"/>
        <d v="2023-03-21T00:00:00"/>
        <d v="2023-10-18T00:00:00"/>
        <d v="2023-06-10T00:00:00"/>
        <d v="2024-09-11T00:00:00"/>
        <d v="2024-05-15T00:00:00"/>
        <d v="2023-12-18T00:00:00"/>
        <d v="2025-02-11T00:00:00"/>
        <d v="2023-11-23T00:00:00"/>
        <d v="2025-03-24T00:00:00"/>
        <d v="2023-11-01T00:00:00"/>
        <d v="2024-07-20T00:00:00"/>
        <d v="2024-12-16T00:00:00"/>
        <d v="2023-10-31T00:00:00"/>
        <d v="2023-08-05T00:00:00"/>
        <d v="2023-07-03T00:00:00"/>
        <d v="2023-10-13T00:00:00"/>
        <d v="2023-10-28T00:00:00"/>
        <d v="2023-07-02T00:00:00"/>
        <d v="2025-04-07T00:00:00"/>
        <d v="2024-11-08T00:00:00"/>
        <d v="2025-04-04T00:00:00"/>
        <d v="2023-07-01T00:00:00"/>
        <d v="2025-03-13T00:00:00"/>
        <d v="2024-05-25T00:00:00"/>
        <d v="2023-03-22T00:00:00"/>
        <d v="2025-01-17T00:00:00"/>
        <d v="2023-05-24T00:00:00"/>
        <d v="2025-04-09T00:00:00"/>
        <d v="2024-07-07T00:00:00"/>
        <d v="2023-07-16T00:00:00"/>
        <d v="2024-12-24T00:00:00"/>
        <d v="2023-06-01T00:00:00"/>
        <d v="2023-09-06T00:00:00"/>
        <d v="2023-06-29T00:00:00"/>
        <d v="2025-01-12T00:00:00"/>
        <d v="2025-04-12T00:00:00"/>
        <d v="2023-10-20T00:00:00"/>
        <d v="2024-10-24T00:00:00"/>
        <d v="2023-08-14T00:00:00"/>
        <d v="2025-03-23T00:00:00"/>
        <d v="2024-07-10T00:00:00"/>
        <d v="2023-10-01T00:00:00"/>
        <d v="2024-02-03T00:00:00"/>
        <d v="2024-06-08T00:00:00"/>
        <d v="2023-01-30T00:00:00"/>
        <d v="2023-09-23T00:00:00"/>
        <d v="2024-04-24T00:00:00"/>
        <d v="2024-10-15T00:00:00"/>
        <d v="2025-02-16T00:00:00"/>
        <d v="2023-04-02T00:00:00"/>
        <d v="2023-06-30T00:00:00"/>
        <d v="2024-09-27T00:00:00"/>
        <d v="2025-03-30T00:00:00"/>
        <d v="2025-06-14T00:00:00"/>
        <d v="2024-08-14T00:00:00"/>
        <d v="2023-07-24T00:00:00"/>
        <d v="2024-06-21T00:00:00"/>
        <d v="2023-08-04T00:00:00"/>
        <d v="2024-07-12T00:00:00"/>
        <d v="2023-12-16T00:00:00"/>
        <d v="2024-03-29T00:00:00"/>
        <d v="2023-05-16T00:00:00"/>
        <d v="2024-02-27T00:00:00"/>
        <d v="2025-01-08T00:00:00"/>
        <d v="2025-03-25T00:00:00"/>
        <d v="2025-05-10T00:00:00"/>
        <d v="2024-09-17T00:00:00"/>
        <d v="2024-10-18T00:00:00"/>
        <d v="2023-12-13T00:00:00"/>
        <d v="2023-12-25T00:00:00"/>
        <d v="2023-04-01T00:00:00"/>
        <d v="2024-03-24T00:00:00"/>
        <d v="2023-09-20T00:00:00"/>
        <d v="2025-06-17T00:00:00"/>
        <d v="2023-01-24T00:00:00"/>
        <d v="2023-11-14T00:00:00"/>
        <d v="2024-09-18T00:00:00"/>
        <d v="2024-09-08T00:00:00"/>
        <d v="2025-06-23T00:00:00"/>
        <d v="2024-03-07T00:00:00"/>
        <d v="2024-10-25T00:00:00"/>
        <d v="2023-07-06T00:00:00"/>
        <d v="2024-04-22T00:00:00"/>
        <d v="2024-02-08T00:00:00"/>
        <d v="2023-12-04T00:00:00"/>
        <d v="2025-05-31T00:00:00"/>
        <d v="2023-06-12T00:00:00"/>
        <d v="2023-09-15T00:00:00"/>
        <d v="2025-04-20T00:00:00"/>
        <d v="2024-07-02T00:00:00"/>
        <d v="2025-04-11T00:00:00"/>
        <d v="2025-01-21T00:00:00"/>
        <d v="2024-03-19T00:00:00"/>
        <d v="2023-06-15T00:00:00"/>
        <d v="2023-02-20T00:00:00"/>
        <d v="2025-05-30T00:00:00"/>
        <d v="2023-07-28T00:00:00"/>
        <d v="2023-03-12T00:00:00"/>
        <d v="2023-11-13T00:00:00"/>
        <d v="2023-10-30T00:00:00"/>
        <d v="2023-09-28T00:00:00"/>
        <d v="2023-09-25T00:00:00"/>
        <d v="2025-05-27T00:00:00"/>
        <d v="2023-06-19T00:00:00"/>
        <d v="2023-01-18T00:00:00"/>
        <d v="2025-03-29T00:00:00"/>
        <d v="2024-04-28T00:00:00"/>
        <d v="2023-09-17T00:00:00"/>
        <d v="2025-06-13T00:00:00"/>
        <d v="2024-10-22T00:00:00"/>
        <d v="2024-09-04T00:00:00"/>
        <d v="2025-04-17T00:00:00"/>
        <d v="2023-08-11T00:00:00"/>
        <d v="2024-10-14T00:00:00"/>
        <d v="2025-01-27T00:00:00"/>
        <d v="2025-04-03T00:00:00"/>
        <d v="2023-06-14T00:00:00"/>
        <d v="2024-12-01T00:00:00"/>
        <d v="2025-05-07T00:00:00"/>
        <d v="2023-05-28T00:00:00"/>
        <d v="2023-05-03T00:00:00"/>
        <d v="2024-07-15T00:00:00"/>
        <d v="2025-02-06T00:00:00"/>
        <d v="2023-12-10T00:00:00"/>
        <d v="2025-02-26T00:00:00"/>
        <d v="2023-04-03T00:00:00"/>
        <d v="2023-04-18T00:00:00"/>
        <d v="2024-07-26T00:00:00"/>
        <d v="2024-03-03T00:00:00"/>
        <d v="2023-09-10T00:00:00"/>
        <d v="2023-01-02T00:00:00"/>
        <d v="2025-04-05T00:00:00"/>
        <d v="2025-02-09T00:00:00"/>
        <d v="2023-06-18T00:00:00"/>
        <d v="2023-10-12T00:00:00"/>
        <d v="2024-08-06T00:00:00"/>
        <d v="2024-12-12T00:00:00"/>
        <d v="2023-07-15T00:00:00"/>
        <d v="2023-11-09T00:00:00"/>
        <d v="2024-03-22T00:00:00"/>
        <d v="2025-01-26T00:00:00"/>
        <d v="2023-06-05T00:00:00"/>
        <d v="2023-09-02T00:00:00"/>
        <d v="2023-02-05T00:00:00"/>
        <d v="2025-03-12T00:00:00"/>
        <d v="2024-06-10T00:00:00"/>
        <d v="2023-05-22T00:00:00"/>
        <d v="2025-01-25T00:00:00"/>
        <d v="2025-02-07T00:00:00"/>
        <d v="2024-06-04T00:00:00"/>
        <d v="2023-02-18T00:00:00"/>
        <d v="2023-11-05T00:00:00"/>
        <d v="2025-06-06T00:00:00"/>
        <d v="2023-01-01T00:00:00"/>
        <d v="2023-01-08T00:00:00"/>
        <d v="2023-01-22T00:00:00"/>
        <d v="2023-07-18T00:00:00"/>
        <d v="2024-04-04T00:00:00"/>
        <d v="2025-05-08T00:00:00"/>
        <d v="2023-07-12T00:00:00"/>
        <d v="2023-04-22T00:00:00"/>
        <d v="2023-11-16T00:00:00"/>
        <d v="2023-09-03T00:00:00"/>
        <d v="2024-01-17T00:00:00"/>
        <d v="2023-03-27T00:00:00"/>
        <d v="2025-04-21T00:00:00"/>
        <d v="2023-02-26T00:00:00"/>
        <d v="2024-09-24T00:00:00"/>
        <d v="2023-09-27T00:00:00"/>
        <d v="2023-09-09T00:00:00"/>
        <d v="2024-07-04T00:00:00"/>
        <d v="2024-05-26T00:00:00"/>
        <d v="2023-08-22T00:00:00"/>
        <d v="2023-02-25T00:00:00"/>
        <d v="2023-12-14T00:00:00"/>
        <d v="2025-05-20T00:00:00"/>
        <d v="2023-03-28T00:00:00"/>
        <d v="2025-02-19T00:00:00"/>
        <d v="2023-10-16T00:00:00"/>
        <d v="2024-01-03T00:00:00"/>
        <d v="2024-07-09T00:00:00"/>
        <d v="2023-06-06T00:00:00"/>
        <d v="2025-02-13T00:00:00"/>
        <d v="2023-05-01T00:00:00"/>
        <d v="2024-02-24T00:00:00"/>
        <d v="2024-11-09T00:00:00"/>
        <d v="2024-02-19T00:00:00"/>
        <d v="2024-05-07T00:00:00"/>
        <d v="2024-01-19T00:00:00"/>
        <d v="2024-02-20T00:00:00"/>
        <d v="2024-02-02T00:00:00"/>
        <d v="2025-03-05T00:00:00"/>
        <d v="2023-11-21T00:00:00"/>
        <d v="2024-06-02T00:00:00"/>
        <d v="2025-06-07T00:00:00"/>
        <d v="2023-05-26T00:00:00"/>
        <d v="2025-02-22T00:00:00"/>
        <d v="2024-05-19T00:00:00"/>
        <d v="2025-06-03T00:00:00"/>
        <d v="2024-10-10T00:00:00"/>
        <d v="2023-09-12T00:00:00"/>
        <d v="2023-02-08T00:00:00"/>
        <d v="2024-06-26T00:00:00"/>
        <d v="2025-01-23T00:00:00"/>
        <d v="2024-12-06T00:00:00"/>
        <d v="2023-12-23T00:00:00"/>
        <d v="2024-02-16T00:00:00"/>
        <d v="2023-04-28T00:00:00"/>
        <d v="2023-12-05T00:00:00"/>
        <d v="2025-03-11T00:00:00"/>
        <d v="2023-06-16T00:00:00"/>
        <d v="2024-12-11T00:00:00"/>
        <d v="2024-10-23T00:00:00"/>
        <d v="2024-04-25T00:00:00"/>
        <d v="2023-01-21T00:00:00"/>
        <d v="2024-11-19T00:00:00"/>
        <d v="2024-06-20T00:00:00"/>
        <d v="2024-09-01T00:00:00"/>
        <d v="2025-02-08T00:00:00"/>
        <d v="2024-04-03T00:00:00"/>
        <d v="2024-01-07T00:00:00"/>
        <d v="2024-11-28T00:00:00"/>
        <d v="2024-10-20T00:00:00"/>
        <d v="2025-01-30T00:00:00"/>
        <d v="2024-02-06T00:00:00"/>
        <d v="2025-05-21T00:00:00"/>
        <d v="2023-11-28T00:00:00"/>
        <d v="2025-03-20T00:00:00"/>
        <d v="2024-02-13T00:00:00"/>
        <d v="2024-09-07T00:00:00"/>
        <d v="2023-12-06T00:00:00"/>
        <d v="2023-02-16T00:00:00"/>
        <d v="2025-05-04T00:00:00"/>
        <d v="2024-06-05T00:00:00"/>
        <d v="2024-12-20T00:00:00"/>
        <d v="2024-11-15T00:00:00"/>
        <d v="2025-06-05T00:00:00"/>
        <d v="2025-04-08T00:00:00"/>
        <d v="2024-11-21T00:00:00"/>
        <d v="2023-02-21T00:00:00"/>
        <d v="2023-05-14T00:00:00"/>
        <d v="2023-11-02T00:00:00"/>
        <d v="2023-02-22T00:00:00"/>
        <d v="2024-01-31T00:00:00"/>
        <d v="2024-01-24T00:00:00"/>
        <d v="2024-07-27T00:00:00"/>
        <d v="2025-03-16T00:00:00"/>
        <d v="2023-12-31T00:00:00"/>
        <d v="2023-12-17T00:00:00"/>
        <d v="2024-12-19T00:00:00"/>
        <d v="2023-05-06T00:00:00"/>
        <d v="2023-10-23T00:00:00"/>
        <d v="2024-01-30T00:00:00"/>
        <d v="2025-06-15T00:00:00"/>
        <d v="2023-06-09T00:00:00"/>
        <d v="2023-12-07T00:00:00"/>
        <d v="2023-09-21T00:00:00"/>
        <d v="2023-10-24T00:00:00"/>
        <d v="2023-08-28T00:00:00"/>
        <d v="2023-09-26T00:00:00"/>
        <d v="2024-02-10T00:00:00"/>
        <d v="2024-12-07T00:00:00"/>
        <d v="2024-03-04T00:00:00"/>
        <d v="2024-04-20T00:00:00"/>
        <d v="2025-06-19T00:00:00"/>
        <d v="2023-08-24T00:00:00"/>
        <d v="2024-03-20T00:00:00"/>
        <d v="2024-11-13T00:00:00"/>
        <d v="2023-02-17T00:00:00"/>
        <d v="2023-06-17T00:00:00"/>
        <d v="2023-10-06T00:00:00"/>
        <d v="2023-10-11T00:00:00"/>
        <d v="2025-04-27T00:00:00"/>
        <d v="2024-02-04T00:00:00"/>
        <d v="2025-05-03T00:00:00"/>
        <d v="2024-03-09T00:00:00"/>
        <d v="2024-02-12T00:00:00"/>
        <d v="2023-01-19T00:00:00"/>
        <d v="2023-12-03T00:00:00"/>
        <d v="2025-02-05T00:00:00"/>
        <d v="2024-05-02T00:00:00"/>
        <d v="2024-12-17T00:00:00"/>
        <d v="2023-07-26T00:00:00"/>
        <d v="2023-05-09T00:00:00"/>
        <d v="2024-09-06T00:00:00"/>
        <d v="2024-10-07T00:00:00"/>
        <d v="2024-01-10T00:00:00"/>
        <d v="2023-12-28T00:00:00"/>
        <d v="2024-04-19T00:00:00"/>
        <d v="2023-08-10T00:00:00"/>
        <d v="2023-07-17T00:00:00"/>
        <d v="2023-05-10T00:00:00"/>
        <d v="2023-04-23T00:00:00"/>
        <d v="2024-07-25T00:00:00"/>
        <d v="2023-04-26T00:00:00"/>
        <d v="2024-04-11T00:00:00"/>
        <d v="2024-06-16T00:00:00"/>
        <d v="2024-06-03T00:00:00"/>
        <d v="2025-04-18T00:00:00"/>
        <d v="2024-01-23T00:00:00"/>
        <d v="2025-05-01T00:00:00"/>
        <d v="2023-12-19T00:00:00"/>
        <d v="2024-01-08T00:00:00"/>
        <d v="2024-02-21T00:00:00"/>
        <d v="2024-04-17T00:00:00"/>
        <d v="2024-10-28T00:00:00"/>
        <d v="2023-07-04T00:00:00"/>
        <d v="2025-01-01T00:00:00"/>
        <d v="2024-11-03T00:00:00"/>
        <d v="2023-11-04T00:00:00"/>
        <d v="2023-10-25T00:00:00"/>
        <d v="2024-03-13T00:00:00"/>
        <d v="2024-01-05T00:00:00"/>
        <d v="2024-11-04T00:00:00"/>
        <d v="2024-03-11T00:00:00"/>
        <d v="2023-04-04T00:00:00"/>
        <d v="2023-09-08T00:00:00"/>
        <d v="2024-10-05T00:00:00"/>
        <d v="2023-11-24T00:00:00"/>
        <d v="2023-01-11T00:00:00"/>
        <d v="2023-05-27T00:00:00"/>
        <d v="2025-05-17T00:00:00"/>
        <d v="2025-01-18T00:00:00"/>
        <d v="2024-05-20T00:00:00"/>
        <d v="2023-08-13T00:00:00"/>
        <d v="2025-05-14T00:00:00"/>
        <d v="2025-05-15T00:00:00"/>
        <d v="2023-09-30T00:00:00"/>
        <d v="2023-01-07T00:00:00"/>
        <d v="2023-12-30T00:00:00"/>
        <d v="2025-03-14T00:00:00"/>
        <d v="2024-09-25T00:00:00"/>
        <d v="2023-03-20T00:00:00"/>
        <d v="2024-10-03T00:00:00"/>
        <d v="2024-04-13T00:00:00"/>
        <d v="2024-01-21T00:00:00"/>
        <d v="2024-07-13T00:00:00"/>
        <d v="2024-12-29T00:00:00"/>
        <d v="2024-04-21T00:00:00"/>
        <d v="2023-05-17T00:00:00"/>
        <d v="2025-03-07T00:00:00"/>
        <d v="2023-02-02T00:00:00"/>
        <d v="2024-10-21T00:00:00"/>
        <d v="2023-06-21T00:00:00"/>
        <d v="2023-01-28T00:00:00"/>
        <d v="2023-04-12T00:00:00"/>
        <d v="2023-02-06T00:00:00"/>
        <d v="2023-05-18T00:00:00"/>
        <d v="2024-01-28T00:00:00"/>
        <d v="2024-08-04T00:00:00"/>
        <d v="2025-04-23T00:00:00"/>
        <d v="2024-12-26T00:00:00"/>
        <d v="2024-06-14T00:00:00"/>
        <d v="2023-04-13T00:00:00"/>
        <d v="2023-10-09T00:00:00"/>
        <d v="2024-04-23T00:00:00"/>
        <d v="2025-05-06T00:00:00"/>
        <d v="2023-07-19T00:00:00"/>
        <d v="2023-09-05T00:00:00"/>
        <d v="2024-09-29T00:00:00"/>
        <d v="2024-07-17T00:00:00"/>
        <d v="2023-01-27T00:00:00"/>
        <d v="2024-08-31T00:00:00"/>
        <d v="2025-02-25T00:00:00"/>
        <d v="2024-02-28T00:00:00"/>
        <d v="2024-01-06T00:00:00"/>
        <d v="2025-06-04T00:00:00"/>
        <d v="2024-08-16T00:00:00"/>
        <d v="2025-02-27T00:00:00"/>
        <d v="2023-10-04T00:00:00"/>
        <d v="2023-05-21T00:00:00"/>
        <d v="2024-06-15T00:00:00"/>
        <d v="2023-09-13T00:00:00"/>
        <d v="2025-05-12T00:00:00"/>
        <d v="2023-06-26T00:00:00"/>
        <d v="2024-07-21T00:00:00"/>
        <d v="2023-10-21T00:00:00"/>
        <d v="2025-03-03T00:00:00"/>
        <d v="2024-03-01T00:00:00"/>
        <d v="2024-07-23T00:00:00"/>
        <d v="2025-04-22T00:00:00"/>
        <d v="2025-04-02T00:00:00"/>
        <d v="2023-08-06T00:00:00"/>
        <d v="2023-03-06T00:00:00"/>
        <d v="2023-03-11T00:00:00"/>
        <d v="2025-06-01T00:00:00"/>
        <d v="2023-09-18T00:00:00"/>
        <d v="2023-02-23T00:00:00"/>
        <d v="2025-06-12T00:00:00"/>
        <d v="2024-10-26T00:00:00"/>
        <d v="2023-07-07T00:00:00"/>
        <d v="2024-06-07T00:00:00"/>
        <d v="2025-06-28T00:00:00"/>
        <d v="2024-07-05T00:00:00"/>
        <d v="2024-02-26T00:00:00"/>
        <d v="2023-05-23T00:00:00"/>
        <d v="2024-06-17T00:00:00"/>
        <d v="2025-02-04T00:00:00"/>
        <d v="2025-05-29T00:00:00"/>
        <d v="2025-04-14T00:00:00"/>
        <d v="2025-01-19T00:00:00"/>
        <d v="2024-05-28T00:00:00"/>
        <d v="2023-02-11T00:00:00"/>
        <d v="2025-05-26T00:00:00"/>
        <d v="2024-05-18T00:00:00"/>
        <d v="2023-08-30T00:00:00"/>
        <d v="2024-07-22T00:00:00"/>
        <d v="2024-08-08T00:00:00"/>
        <d v="2024-02-17T00:00:00"/>
        <d v="2024-03-02T00:00:00"/>
        <d v="2023-06-20T00:00:00"/>
        <d v="2024-01-15T00:00:00"/>
        <d v="2024-01-14T00:00:00"/>
        <d v="2023-07-13T00:00:00"/>
        <d v="2024-12-08T00:00:00"/>
        <d v="2023-04-20T00:00:00"/>
        <d v="2024-04-02T00:00:00"/>
        <d v="2024-01-13T00:00:00"/>
        <d v="2024-06-18T00:00:00"/>
        <d v="2024-10-12T00:00:00"/>
        <d v="2024-09-05T00:00:00"/>
        <d v="2023-05-11T00:00:00"/>
        <d v="2025-06-21T00:00:00"/>
        <d v="2023-11-11T00:00:00"/>
        <d v="2024-10-27T00:00:00"/>
        <d v="2023-03-24T00:00:00"/>
        <d v="2025-04-13T00:00:00"/>
        <d v="2025-06-29T00:00:00"/>
        <d v="2025-06-09T00:00:00"/>
        <d v="2025-03-09T00:00:00"/>
        <d v="2024-11-10T00:00:00"/>
        <d v="2024-10-06T00:00:00"/>
        <d v="2025-05-23T00:00:00"/>
        <d v="2024-06-11T00:00:00"/>
        <d v="2024-08-20T00:00:00"/>
        <d v="2024-07-30T00:00:00"/>
        <d v="2023-01-03T00:00:00"/>
        <d v="2023-01-31T00:00:00"/>
        <d v="2024-08-24T00:00:00"/>
        <d v="2023-08-02T00:00:00"/>
        <d v="2025-02-17T00:00:00"/>
        <d v="2023-02-07T00:00:00"/>
        <d v="2023-11-17T00:00:00"/>
        <d v="2024-09-09T00:00:00"/>
        <d v="2023-05-20T00:00:00"/>
        <d v="2024-11-16T00:00:00"/>
        <d v="2024-10-04T00:00:00"/>
        <d v="2023-07-21T00:00:00"/>
        <d v="2023-04-08T00:00:00"/>
        <d v="2025-03-31T00:00:00"/>
        <d v="2024-02-01T00:00:00"/>
        <d v="2023-06-04T00:00:00"/>
        <d v="2023-07-05T00:00:00"/>
        <d v="2024-09-03T00:00:00"/>
        <d v="2024-11-27T00:00:00"/>
        <d v="2025-06-16T00:00:00"/>
        <d v="2025-05-19T00:00:00"/>
        <d v="2023-05-30T00:00:00"/>
        <d v="2024-11-25T00:00:00"/>
        <d v="2023-01-20T00:00:00"/>
        <d v="2024-11-11T00:00:00"/>
        <d v="2024-08-19T00:00:00"/>
        <d v="2024-03-21T00:00:00"/>
        <d v="2024-05-29T00:00:00"/>
        <d v="2023-12-08T00:00:00"/>
        <d v="2024-01-27T00:00:00"/>
        <d v="2024-08-05T00:00:00"/>
        <d v="2023-08-08T00:00:00"/>
        <d v="2024-10-29T00:00:00"/>
        <d v="2025-04-06T00:00:00"/>
        <d v="2024-08-11T00:00:00"/>
        <d v="2024-09-13T00:00:00"/>
        <d v="2024-02-14T00:00:00"/>
        <d v="2023-06-03T00:00:00"/>
        <d v="2025-03-17T00:00:00"/>
        <d v="2025-06-11T00:00:00"/>
        <d v="2025-01-09T00:00:00"/>
        <d v="2023-03-15T00:00:00"/>
        <d v="2024-10-01T00:00:00"/>
        <d v="2024-10-30T00:00:00"/>
        <d v="2023-07-29T00:00:00"/>
        <d v="2025-05-13T00:00:00"/>
        <d v="2023-09-11T00:00:00"/>
        <d v="2023-03-30T00:00:00"/>
        <d v="2024-07-14T00:00:00"/>
        <d v="2024-11-18T00:00:00"/>
        <d v="2023-06-07T00:00:00"/>
        <d v="2024-05-10T00:00:00"/>
        <d v="2025-06-08T00:00:00"/>
        <d v="2023-11-20T00:00:00"/>
        <d v="2024-05-13T00:00:00"/>
        <d v="2024-06-12T00:00:00"/>
        <d v="2024-08-22T00:00:00"/>
        <d v="2025-06-02T00:00:00"/>
        <d v="2024-06-01T00:00:00"/>
        <d v="2024-07-03T00:00:00"/>
        <d v="2024-04-14T00:00:00"/>
        <d v="2024-12-15T00:00:00"/>
        <d v="2025-01-11T00:00:00"/>
        <d v="2023-01-12T00:00:00"/>
        <d v="2024-01-01T00:00:00"/>
        <d v="2023-02-28T00:00:00"/>
        <d v="2024-10-31T00:00:00"/>
        <d v="2024-12-04T00:00:00"/>
        <d v="2025-03-28T00:00:00"/>
        <d v="2023-03-25T00:00:00"/>
        <d v="2023-08-23T00:00:00"/>
        <d v="2023-02-15T00:00:00"/>
        <d v="2023-03-08T00:00:00"/>
        <d v="2024-01-09T00:00:00"/>
        <d v="2023-03-26T00:00:00"/>
        <d v="2023-04-05T00:00:00"/>
        <d v="2023-08-03T00:00:00"/>
        <d v="2023-12-24T00:00:00"/>
        <d v="2023-10-27T00:00:00"/>
        <d v="2024-08-13T00:00:00"/>
        <d v="2024-06-27T00:00:00"/>
        <d v="2024-01-11T00:00:00"/>
        <d v="2025-01-15T00:00:00"/>
        <d v="2024-11-22T00:00:00"/>
        <d v="2025-06-20T00:00:00"/>
        <d v="2024-09-15T00:00:00"/>
        <d v="2023-01-09T00:00:00"/>
        <d v="2025-04-28T00:00:00"/>
        <d v="2024-02-07T00:00:00"/>
        <d v="2025-04-25T00:00:00"/>
        <d v="2024-04-26T00:00:00"/>
        <d v="2023-02-09T00:00:00"/>
        <d v="2025-04-26T00:00:00"/>
        <d v="2023-01-14T00:00:00"/>
        <d v="2023-08-17T00:00:00"/>
        <d v="2023-11-26T00:00:00"/>
        <d v="2024-02-18T00:00:00"/>
        <d v="2025-05-28T00:00:00"/>
        <d v="2024-11-14T00:00:00"/>
        <d v="2023-01-26T00:00:00"/>
        <d v="2024-08-30T00:00:00"/>
        <d v="2025-02-18T00:00:00"/>
        <d v="2023-05-31T00:00:00"/>
        <d v="2023-10-17T00:00:00"/>
        <d v="2024-09-02T00:00:00"/>
        <d v="2023-03-23T00:00:00"/>
        <d v="2023-11-06T00:00:00"/>
        <d v="2023-12-01T00:00:00"/>
        <d v="2023-03-03T00:00:00"/>
        <d v="2025-01-22T00:00:00"/>
      </sharedItems>
      <fieldGroup par="19"/>
    </cacheField>
    <cacheField name="Due Date" numFmtId="14">
      <sharedItems containsSemiMixedTypes="0" containsNonDate="0" containsDate="1" containsString="0" minDate="2023-02-15T00:00:00" maxDate="2025-08-14T00:00:00"/>
    </cacheField>
    <cacheField name="Amount" numFmtId="0">
      <sharedItems containsSemiMixedTypes="0" containsString="0" containsNumber="1" minValue="200.4" maxValue="7996.24"/>
    </cacheField>
    <cacheField name="Currency" numFmtId="0">
      <sharedItems/>
    </cacheField>
    <cacheField name="Status" numFmtId="0">
      <sharedItems/>
    </cacheField>
    <cacheField name="Received Date" numFmtId="14">
      <sharedItems containsNonDate="0" containsDate="1" containsString="0" containsBlank="1" minDate="2023-02-16T00:00:00" maxDate="2025-08-06T00:00:00"/>
    </cacheField>
    <cacheField name="Terms" numFmtId="0">
      <sharedItems/>
    </cacheField>
    <cacheField name="Blank Received Date" numFmtId="0">
      <sharedItems/>
    </cacheField>
    <cacheField name="Outstanding Day" numFmtId="2">
      <sharedItems containsSemiMixedTypes="0" containsString="0" containsNumber="1" containsInteger="1" minValue="45" maxValue="1123"/>
    </cacheField>
    <cacheField name="Days Past Due(DPD)" numFmtId="2">
      <sharedItems containsSemiMixedTypes="0" containsString="0" containsNumber="1" containsInteger="1" minValue="0" maxValue="1078"/>
    </cacheField>
    <cacheField name="Overdue Flag" numFmtId="0">
      <sharedItems count="2">
        <s v="Overdue"/>
        <s v="On Time"/>
      </sharedItems>
    </cacheField>
    <cacheField name="Outstanding Amount" numFmtId="0">
      <sharedItems containsSemiMixedTypes="0" containsString="0" containsNumber="1" minValue="0" maxValue="7996.24"/>
    </cacheField>
    <cacheField name="Age Bucket" numFmtId="0">
      <sharedItems count="4">
        <s v="365+ Days (High Risk)"/>
        <s v="181–365 Days"/>
        <s v="Not Due"/>
        <s v="91–180 Days"/>
      </sharedItems>
    </cacheField>
    <cacheField name="Paid Amount" numFmtId="0">
      <sharedItems containsSemiMixedTypes="0" containsString="0" containsNumber="1" minValue="0" maxValue="7993.22"/>
    </cacheField>
    <cacheField name="Overdue Amount" numFmtId="2">
      <sharedItems containsSemiMixedTypes="0" containsString="0" containsNumber="1" minValue="0" maxValue="7996.24"/>
    </cacheField>
    <cacheField name="Months (Invoice Date)" numFmtId="0" databaseField="0">
      <fieldGroup base="2">
        <rangePr groupBy="months" startDate="2023-01-01T00:00:00" endDate="2025-06-30T00:00:00"/>
        <groupItems count="14">
          <s v="&lt;01-01-23"/>
          <s v="Jan"/>
          <s v="Feb"/>
          <s v="Mar"/>
          <s v="Apr"/>
          <s v="May"/>
          <s v="Jun"/>
          <s v="Jul"/>
          <s v="Aug"/>
          <s v="Sep"/>
          <s v="Oct"/>
          <s v="Nov"/>
          <s v="Dec"/>
          <s v="&gt;30-06-25"/>
        </groupItems>
      </fieldGroup>
    </cacheField>
    <cacheField name="Quarters (Invoice Date)" numFmtId="0" databaseField="0">
      <fieldGroup base="2">
        <rangePr groupBy="quarters" startDate="2023-01-01T00:00:00" endDate="2025-06-30T00:00:00"/>
        <groupItems count="6">
          <s v="&lt;01-01-23"/>
          <s v="Qtr1"/>
          <s v="Qtr2"/>
          <s v="Qtr3"/>
          <s v="Qtr4"/>
          <s v="&gt;30-06-25"/>
        </groupItems>
      </fieldGroup>
    </cacheField>
    <cacheField name="Years (Invoice Date)" numFmtId="0" databaseField="0">
      <fieldGroup base="2">
        <rangePr groupBy="years" startDate="2023-01-01T00:00:00" endDate="2025-06-30T00:00:00"/>
        <groupItems count="5">
          <s v="&lt;01-01-23"/>
          <s v="2023"/>
          <s v="2024"/>
          <s v="2025"/>
          <s v="&gt;30-06-25"/>
        </groupItems>
      </fieldGroup>
    </cacheField>
  </cacheFields>
  <extLst>
    <ext xmlns:x14="http://schemas.microsoft.com/office/spreadsheetml/2009/9/main" uri="{725AE2AE-9491-48be-B2B4-4EB974FC3084}">
      <x14:pivotCacheDefinition pivotCacheId="1960139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s v="AR20000"/>
    <x v="0"/>
    <x v="0"/>
    <d v="2023-10-03T00:00:00"/>
    <n v="6160.48"/>
    <s v="USD"/>
    <s v="Partial"/>
    <m/>
    <s v="Net 45"/>
    <b v="1"/>
    <n v="893"/>
    <n v="848"/>
    <x v="0"/>
    <n v="6160.48"/>
    <x v="0"/>
    <n v="0"/>
    <n v="6160.48"/>
  </r>
  <r>
    <s v="AR20001"/>
    <x v="1"/>
    <x v="1"/>
    <d v="2025-05-16T00:00:00"/>
    <n v="995.04"/>
    <s v="EUR"/>
    <s v="Open"/>
    <m/>
    <s v="Net 45"/>
    <b v="1"/>
    <n v="302"/>
    <n v="257"/>
    <x v="0"/>
    <n v="995.04"/>
    <x v="1"/>
    <n v="0"/>
    <n v="995.04"/>
  </r>
  <r>
    <s v="AR20002"/>
    <x v="0"/>
    <x v="2"/>
    <d v="2025-02-08T00:00:00"/>
    <n v="3936.29"/>
    <s v="GBP"/>
    <s v="Open"/>
    <m/>
    <s v="Net 45"/>
    <b v="1"/>
    <n v="399"/>
    <n v="354"/>
    <x v="0"/>
    <n v="3936.29"/>
    <x v="1"/>
    <n v="0"/>
    <n v="3936.29"/>
  </r>
  <r>
    <s v="AR20003"/>
    <x v="1"/>
    <x v="3"/>
    <d v="2023-06-22T00:00:00"/>
    <n v="3596.35"/>
    <s v="GBP"/>
    <s v="Received"/>
    <d v="2023-06-22T00:00:00"/>
    <s v="Net 45"/>
    <b v="0"/>
    <n v="45"/>
    <n v="0"/>
    <x v="1"/>
    <n v="0"/>
    <x v="2"/>
    <n v="3596.35"/>
    <n v="0"/>
  </r>
  <r>
    <s v="AR20004"/>
    <x v="2"/>
    <x v="4"/>
    <d v="2024-09-21T00:00:00"/>
    <n v="6577.57"/>
    <s v="GBP"/>
    <s v="Received"/>
    <d v="2024-09-21T00:00:00"/>
    <s v="Net 45"/>
    <b v="0"/>
    <n v="45"/>
    <n v="0"/>
    <x v="1"/>
    <n v="0"/>
    <x v="2"/>
    <n v="6577.57"/>
    <n v="0"/>
  </r>
  <r>
    <s v="AR20005"/>
    <x v="3"/>
    <x v="5"/>
    <d v="2023-07-13T00:00:00"/>
    <n v="6985.23"/>
    <s v="CAD"/>
    <s v="Open"/>
    <m/>
    <s v="Net 45"/>
    <b v="1"/>
    <n v="975"/>
    <n v="930"/>
    <x v="0"/>
    <n v="6985.23"/>
    <x v="0"/>
    <n v="0"/>
    <n v="6985.23"/>
  </r>
  <r>
    <s v="AR20006"/>
    <x v="2"/>
    <x v="6"/>
    <d v="2023-12-06T00:00:00"/>
    <n v="6637.46"/>
    <s v="AUD"/>
    <s v="Received"/>
    <d v="2023-12-06T00:00:00"/>
    <s v="Net 45"/>
    <b v="0"/>
    <n v="45"/>
    <n v="0"/>
    <x v="1"/>
    <n v="0"/>
    <x v="2"/>
    <n v="6637.46"/>
    <n v="0"/>
  </r>
  <r>
    <s v="AR20007"/>
    <x v="4"/>
    <x v="7"/>
    <d v="2023-12-18T00:00:00"/>
    <n v="4099.3"/>
    <s v="USD"/>
    <s v="Partial"/>
    <m/>
    <s v="Net 45"/>
    <b v="1"/>
    <n v="817"/>
    <n v="772"/>
    <x v="0"/>
    <n v="4099.3"/>
    <x v="0"/>
    <n v="0"/>
    <n v="4099.3"/>
  </r>
  <r>
    <s v="AR20008"/>
    <x v="4"/>
    <x v="8"/>
    <d v="2025-02-19T00:00:00"/>
    <n v="3578.15"/>
    <s v="GBP"/>
    <s v="Received"/>
    <d v="2025-02-19T00:00:00"/>
    <s v="Net 45"/>
    <b v="0"/>
    <n v="45"/>
    <n v="0"/>
    <x v="1"/>
    <n v="0"/>
    <x v="2"/>
    <n v="3578.15"/>
    <n v="0"/>
  </r>
  <r>
    <s v="AR20009"/>
    <x v="4"/>
    <x v="9"/>
    <d v="2024-01-25T00:00:00"/>
    <n v="2670.06"/>
    <s v="EUR"/>
    <s v="Partial"/>
    <m/>
    <s v="Net 45"/>
    <b v="1"/>
    <n v="779"/>
    <n v="734"/>
    <x v="0"/>
    <n v="2670.06"/>
    <x v="0"/>
    <n v="0"/>
    <n v="2670.06"/>
  </r>
  <r>
    <s v="AR20010"/>
    <x v="2"/>
    <x v="10"/>
    <d v="2023-10-09T00:00:00"/>
    <n v="3602.98"/>
    <s v="GBP"/>
    <s v="Open"/>
    <m/>
    <s v="Net 45"/>
    <b v="1"/>
    <n v="887"/>
    <n v="842"/>
    <x v="0"/>
    <n v="3602.98"/>
    <x v="0"/>
    <n v="0"/>
    <n v="3602.98"/>
  </r>
  <r>
    <s v="AR20011"/>
    <x v="1"/>
    <x v="11"/>
    <d v="2025-01-19T00:00:00"/>
    <n v="1107.56"/>
    <s v="EUR"/>
    <s v="Partial"/>
    <m/>
    <s v="Net 45"/>
    <b v="1"/>
    <n v="419"/>
    <n v="374"/>
    <x v="0"/>
    <n v="1107.56"/>
    <x v="0"/>
    <n v="0"/>
    <n v="1107.56"/>
  </r>
  <r>
    <s v="AR20012"/>
    <x v="3"/>
    <x v="12"/>
    <d v="2024-08-07T00:00:00"/>
    <n v="4604.67"/>
    <s v="CAD"/>
    <s v="Received"/>
    <d v="2024-08-07T00:00:00"/>
    <s v="Net 45"/>
    <b v="0"/>
    <n v="45"/>
    <n v="0"/>
    <x v="1"/>
    <n v="0"/>
    <x v="2"/>
    <n v="4604.67"/>
    <n v="0"/>
  </r>
  <r>
    <s v="AR20013"/>
    <x v="2"/>
    <x v="13"/>
    <d v="2025-04-18T00:00:00"/>
    <n v="1209.22"/>
    <s v="EUR"/>
    <s v="Partial"/>
    <m/>
    <s v="Net 45"/>
    <b v="1"/>
    <n v="330"/>
    <n v="285"/>
    <x v="0"/>
    <n v="1209.22"/>
    <x v="1"/>
    <n v="0"/>
    <n v="1209.22"/>
  </r>
  <r>
    <s v="AR20014"/>
    <x v="1"/>
    <x v="14"/>
    <d v="2023-06-13T00:00:00"/>
    <n v="1688.61"/>
    <s v="GBP"/>
    <s v="Partial"/>
    <m/>
    <s v="Net 45"/>
    <b v="1"/>
    <n v="1005"/>
    <n v="960"/>
    <x v="0"/>
    <n v="1688.61"/>
    <x v="0"/>
    <n v="0"/>
    <n v="1688.61"/>
  </r>
  <r>
    <s v="AR20015"/>
    <x v="2"/>
    <x v="15"/>
    <d v="2025-06-13T00:00:00"/>
    <n v="3982.02"/>
    <s v="EUR"/>
    <s v="Received"/>
    <d v="2025-06-13T00:00:00"/>
    <s v="Net 45"/>
    <b v="0"/>
    <n v="45"/>
    <n v="0"/>
    <x v="1"/>
    <n v="0"/>
    <x v="2"/>
    <n v="3982.02"/>
    <n v="0"/>
  </r>
  <r>
    <s v="AR20016"/>
    <x v="3"/>
    <x v="16"/>
    <d v="2025-06-30T00:00:00"/>
    <n v="4357.75"/>
    <s v="EUR"/>
    <s v="Open"/>
    <m/>
    <s v="Net 45"/>
    <b v="1"/>
    <n v="257"/>
    <n v="212"/>
    <x v="0"/>
    <n v="4357.75"/>
    <x v="1"/>
    <n v="0"/>
    <n v="4357.75"/>
  </r>
  <r>
    <s v="AR20017"/>
    <x v="0"/>
    <x v="17"/>
    <d v="2024-03-14T00:00:00"/>
    <n v="4297.67"/>
    <s v="EUR"/>
    <s v="Received"/>
    <d v="2024-03-14T00:00:00"/>
    <s v="Net 45"/>
    <b v="0"/>
    <n v="45"/>
    <n v="0"/>
    <x v="1"/>
    <n v="0"/>
    <x v="2"/>
    <n v="4297.67"/>
    <n v="0"/>
  </r>
  <r>
    <s v="AR20018"/>
    <x v="2"/>
    <x v="18"/>
    <d v="2024-05-24T00:00:00"/>
    <n v="3074.66"/>
    <s v="USD"/>
    <s v="Open"/>
    <m/>
    <s v="Net 45"/>
    <b v="1"/>
    <n v="659"/>
    <n v="614"/>
    <x v="0"/>
    <n v="3074.66"/>
    <x v="0"/>
    <n v="0"/>
    <n v="3074.66"/>
  </r>
  <r>
    <s v="AR20019"/>
    <x v="3"/>
    <x v="19"/>
    <d v="2024-06-22T00:00:00"/>
    <n v="7987.42"/>
    <s v="USD"/>
    <s v="Partial"/>
    <m/>
    <s v="Net 45"/>
    <b v="1"/>
    <n v="630"/>
    <n v="585"/>
    <x v="0"/>
    <n v="7987.42"/>
    <x v="0"/>
    <n v="0"/>
    <n v="7987.42"/>
  </r>
  <r>
    <s v="AR20020"/>
    <x v="1"/>
    <x v="20"/>
    <d v="2024-09-26T00:00:00"/>
    <n v="1932.36"/>
    <s v="AUD"/>
    <s v="Received"/>
    <d v="2024-09-26T00:00:00"/>
    <s v="Net 45"/>
    <b v="0"/>
    <n v="45"/>
    <n v="0"/>
    <x v="1"/>
    <n v="0"/>
    <x v="2"/>
    <n v="1932.36"/>
    <n v="0"/>
  </r>
  <r>
    <s v="AR20021"/>
    <x v="2"/>
    <x v="21"/>
    <d v="2024-08-22T00:00:00"/>
    <n v="5384.07"/>
    <s v="EUR"/>
    <s v="Open"/>
    <m/>
    <s v="Net 45"/>
    <b v="1"/>
    <n v="569"/>
    <n v="524"/>
    <x v="0"/>
    <n v="5384.07"/>
    <x v="0"/>
    <n v="0"/>
    <n v="5384.07"/>
  </r>
  <r>
    <s v="AR20022"/>
    <x v="0"/>
    <x v="22"/>
    <d v="2023-08-28T00:00:00"/>
    <n v="5931.01"/>
    <s v="GBP"/>
    <s v="Partial"/>
    <m/>
    <s v="Net 45"/>
    <b v="1"/>
    <n v="929"/>
    <n v="884"/>
    <x v="0"/>
    <n v="5931.01"/>
    <x v="0"/>
    <n v="0"/>
    <n v="5931.01"/>
  </r>
  <r>
    <s v="AR20023"/>
    <x v="1"/>
    <x v="23"/>
    <d v="2023-10-19T00:00:00"/>
    <n v="7959.18"/>
    <s v="GBP"/>
    <s v="Open"/>
    <m/>
    <s v="Net 45"/>
    <b v="1"/>
    <n v="877"/>
    <n v="832"/>
    <x v="0"/>
    <n v="7959.18"/>
    <x v="0"/>
    <n v="0"/>
    <n v="7959.18"/>
  </r>
  <r>
    <s v="AR20024"/>
    <x v="4"/>
    <x v="24"/>
    <d v="2023-08-22T00:00:00"/>
    <n v="5981.13"/>
    <s v="CAD"/>
    <s v="Open"/>
    <m/>
    <s v="Net 45"/>
    <b v="1"/>
    <n v="935"/>
    <n v="890"/>
    <x v="0"/>
    <n v="5981.13"/>
    <x v="0"/>
    <n v="0"/>
    <n v="5981.13"/>
  </r>
  <r>
    <s v="AR20025"/>
    <x v="2"/>
    <x v="25"/>
    <d v="2023-04-16T00:00:00"/>
    <n v="5545.78"/>
    <s v="EUR"/>
    <s v="Received"/>
    <d v="2023-04-16T00:00:00"/>
    <s v="Net 45"/>
    <b v="0"/>
    <n v="45"/>
    <n v="0"/>
    <x v="1"/>
    <n v="0"/>
    <x v="2"/>
    <n v="5545.78"/>
    <n v="0"/>
  </r>
  <r>
    <s v="AR20026"/>
    <x v="3"/>
    <x v="26"/>
    <d v="2023-05-05T00:00:00"/>
    <n v="895.41"/>
    <s v="USD"/>
    <s v="Received"/>
    <d v="2023-05-05T00:00:00"/>
    <s v="Net 45"/>
    <b v="0"/>
    <n v="45"/>
    <n v="0"/>
    <x v="1"/>
    <n v="0"/>
    <x v="2"/>
    <n v="895.41"/>
    <n v="0"/>
  </r>
  <r>
    <s v="AR20027"/>
    <x v="2"/>
    <x v="27"/>
    <d v="2023-12-02T00:00:00"/>
    <n v="7961.36"/>
    <s v="AUD"/>
    <s v="Received"/>
    <d v="2023-12-02T00:00:00"/>
    <s v="Net 45"/>
    <b v="0"/>
    <n v="45"/>
    <n v="0"/>
    <x v="1"/>
    <n v="0"/>
    <x v="2"/>
    <n v="7961.36"/>
    <n v="0"/>
  </r>
  <r>
    <s v="AR20028"/>
    <x v="0"/>
    <x v="28"/>
    <d v="2023-07-25T00:00:00"/>
    <n v="7898.89"/>
    <s v="USD"/>
    <s v="Partial"/>
    <m/>
    <s v="Net 45"/>
    <b v="1"/>
    <n v="963"/>
    <n v="918"/>
    <x v="0"/>
    <n v="7898.89"/>
    <x v="0"/>
    <n v="0"/>
    <n v="7898.89"/>
  </r>
  <r>
    <s v="AR20029"/>
    <x v="2"/>
    <x v="29"/>
    <d v="2024-10-26T00:00:00"/>
    <n v="3210.82"/>
    <s v="GBP"/>
    <s v="Partial"/>
    <m/>
    <s v="Net 45"/>
    <b v="1"/>
    <n v="504"/>
    <n v="459"/>
    <x v="0"/>
    <n v="3210.82"/>
    <x v="0"/>
    <n v="0"/>
    <n v="3210.82"/>
  </r>
  <r>
    <s v="AR20030"/>
    <x v="3"/>
    <x v="30"/>
    <d v="2024-06-29T00:00:00"/>
    <n v="546.96"/>
    <s v="CAD"/>
    <s v="Open"/>
    <m/>
    <s v="Net 45"/>
    <b v="1"/>
    <n v="623"/>
    <n v="578"/>
    <x v="0"/>
    <n v="546.96"/>
    <x v="0"/>
    <n v="0"/>
    <n v="546.96"/>
  </r>
  <r>
    <s v="AR20031"/>
    <x v="1"/>
    <x v="31"/>
    <d v="2024-02-01T00:00:00"/>
    <n v="2602.5100000000002"/>
    <s v="CAD"/>
    <s v="Received"/>
    <d v="2024-02-01T00:00:00"/>
    <s v="Net 45"/>
    <b v="0"/>
    <n v="45"/>
    <n v="0"/>
    <x v="1"/>
    <n v="0"/>
    <x v="2"/>
    <n v="2602.5100000000002"/>
    <n v="0"/>
  </r>
  <r>
    <s v="AR20032"/>
    <x v="2"/>
    <x v="32"/>
    <d v="2025-03-28T00:00:00"/>
    <n v="7548.8"/>
    <s v="AUD"/>
    <s v="Partial"/>
    <m/>
    <s v="Net 45"/>
    <b v="1"/>
    <n v="351"/>
    <n v="306"/>
    <x v="0"/>
    <n v="7548.8"/>
    <x v="1"/>
    <n v="0"/>
    <n v="7548.8"/>
  </r>
  <r>
    <s v="AR20033"/>
    <x v="0"/>
    <x v="33"/>
    <d v="2024-01-07T00:00:00"/>
    <n v="634.25"/>
    <s v="USD"/>
    <s v="Partial"/>
    <m/>
    <s v="Net 45"/>
    <b v="1"/>
    <n v="797"/>
    <n v="752"/>
    <x v="0"/>
    <n v="634.25"/>
    <x v="0"/>
    <n v="0"/>
    <n v="634.25"/>
  </r>
  <r>
    <s v="AR20034"/>
    <x v="3"/>
    <x v="34"/>
    <d v="2025-05-08T00:00:00"/>
    <n v="6230.43"/>
    <s v="GBP"/>
    <s v="Received"/>
    <d v="2025-05-08T00:00:00"/>
    <s v="Net 45"/>
    <b v="0"/>
    <n v="45"/>
    <n v="0"/>
    <x v="1"/>
    <n v="0"/>
    <x v="2"/>
    <n v="6230.43"/>
    <n v="0"/>
  </r>
  <r>
    <s v="AR20035"/>
    <x v="3"/>
    <x v="35"/>
    <d v="2023-12-16T00:00:00"/>
    <n v="2323.42"/>
    <s v="EUR"/>
    <s v="Received"/>
    <d v="2023-12-16T00:00:00"/>
    <s v="Net 45"/>
    <b v="0"/>
    <n v="45"/>
    <n v="0"/>
    <x v="1"/>
    <n v="0"/>
    <x v="2"/>
    <n v="2323.42"/>
    <n v="0"/>
  </r>
  <r>
    <s v="AR20036"/>
    <x v="2"/>
    <x v="36"/>
    <d v="2024-09-03T00:00:00"/>
    <n v="2167.31"/>
    <s v="EUR"/>
    <s v="Received"/>
    <d v="2024-09-03T00:00:00"/>
    <s v="Net 45"/>
    <b v="0"/>
    <n v="45"/>
    <n v="0"/>
    <x v="1"/>
    <n v="0"/>
    <x v="2"/>
    <n v="2167.31"/>
    <n v="0"/>
  </r>
  <r>
    <s v="AR20037"/>
    <x v="4"/>
    <x v="37"/>
    <d v="2025-01-30T00:00:00"/>
    <n v="1711.81"/>
    <s v="CAD"/>
    <s v="Open"/>
    <m/>
    <s v="Net 45"/>
    <b v="1"/>
    <n v="408"/>
    <n v="363"/>
    <x v="0"/>
    <n v="1711.81"/>
    <x v="1"/>
    <n v="0"/>
    <n v="1711.81"/>
  </r>
  <r>
    <s v="AR20038"/>
    <x v="1"/>
    <x v="38"/>
    <d v="2023-12-15T00:00:00"/>
    <n v="6942.78"/>
    <s v="USD"/>
    <s v="Partial"/>
    <m/>
    <s v="Net 45"/>
    <b v="1"/>
    <n v="820"/>
    <n v="775"/>
    <x v="0"/>
    <n v="6942.78"/>
    <x v="0"/>
    <n v="0"/>
    <n v="6942.78"/>
  </r>
  <r>
    <s v="AR20039"/>
    <x v="2"/>
    <x v="39"/>
    <d v="2023-09-19T00:00:00"/>
    <n v="7098.74"/>
    <s v="AUD"/>
    <s v="Open"/>
    <m/>
    <s v="Net 45"/>
    <b v="1"/>
    <n v="907"/>
    <n v="862"/>
    <x v="0"/>
    <n v="7098.74"/>
    <x v="0"/>
    <n v="0"/>
    <n v="7098.74"/>
  </r>
  <r>
    <s v="AR20040"/>
    <x v="2"/>
    <x v="40"/>
    <d v="2023-08-17T00:00:00"/>
    <n v="4881.63"/>
    <s v="CAD"/>
    <s v="Received"/>
    <d v="2023-08-17T00:00:00"/>
    <s v="Net 45"/>
    <b v="0"/>
    <n v="45"/>
    <n v="0"/>
    <x v="1"/>
    <n v="0"/>
    <x v="2"/>
    <n v="4881.63"/>
    <n v="0"/>
  </r>
  <r>
    <s v="AR20041"/>
    <x v="3"/>
    <x v="41"/>
    <d v="2023-11-27T00:00:00"/>
    <n v="6438.74"/>
    <s v="EUR"/>
    <s v="Partial"/>
    <m/>
    <s v="Net 45"/>
    <b v="1"/>
    <n v="838"/>
    <n v="793"/>
    <x v="0"/>
    <n v="6438.74"/>
    <x v="0"/>
    <n v="0"/>
    <n v="6438.74"/>
  </r>
  <r>
    <s v="AR20042"/>
    <x v="1"/>
    <x v="42"/>
    <d v="2023-12-12T00:00:00"/>
    <n v="5344.09"/>
    <s v="AUD"/>
    <s v="Received"/>
    <d v="2023-12-12T00:00:00"/>
    <s v="Net 45"/>
    <b v="0"/>
    <n v="45"/>
    <n v="0"/>
    <x v="1"/>
    <n v="0"/>
    <x v="2"/>
    <n v="5344.09"/>
    <n v="0"/>
  </r>
  <r>
    <s v="AR20043"/>
    <x v="4"/>
    <x v="43"/>
    <d v="2023-08-16T00:00:00"/>
    <n v="5121.3"/>
    <s v="EUR"/>
    <s v="Open"/>
    <m/>
    <s v="Net 45"/>
    <b v="1"/>
    <n v="941"/>
    <n v="896"/>
    <x v="0"/>
    <n v="5121.3"/>
    <x v="0"/>
    <n v="0"/>
    <n v="5121.3"/>
  </r>
  <r>
    <s v="AR20044"/>
    <x v="1"/>
    <x v="44"/>
    <d v="2025-05-22T00:00:00"/>
    <n v="1325.15"/>
    <s v="CAD"/>
    <s v="Open"/>
    <m/>
    <s v="Net 45"/>
    <b v="1"/>
    <n v="296"/>
    <n v="251"/>
    <x v="0"/>
    <n v="1325.15"/>
    <x v="1"/>
    <n v="0"/>
    <n v="1325.15"/>
  </r>
  <r>
    <s v="AR20045"/>
    <x v="4"/>
    <x v="45"/>
    <d v="2024-12-23T00:00:00"/>
    <n v="2200.8200000000002"/>
    <s v="USD"/>
    <s v="Open"/>
    <m/>
    <s v="Net 45"/>
    <b v="1"/>
    <n v="446"/>
    <n v="401"/>
    <x v="0"/>
    <n v="2200.8200000000002"/>
    <x v="0"/>
    <n v="0"/>
    <n v="2200.8200000000002"/>
  </r>
  <r>
    <s v="AR20046"/>
    <x v="4"/>
    <x v="46"/>
    <d v="2025-05-19T00:00:00"/>
    <n v="1015.66"/>
    <s v="EUR"/>
    <s v="Received"/>
    <d v="2025-05-19T00:00:00"/>
    <s v="Net 45"/>
    <b v="0"/>
    <n v="45"/>
    <n v="0"/>
    <x v="1"/>
    <n v="0"/>
    <x v="2"/>
    <n v="1015.66"/>
    <n v="0"/>
  </r>
  <r>
    <s v="AR20047"/>
    <x v="1"/>
    <x v="47"/>
    <d v="2023-08-15T00:00:00"/>
    <n v="3180.12"/>
    <s v="AUD"/>
    <s v="Open"/>
    <m/>
    <s v="Net 45"/>
    <b v="1"/>
    <n v="942"/>
    <n v="897"/>
    <x v="0"/>
    <n v="3180.12"/>
    <x v="0"/>
    <n v="0"/>
    <n v="3180.12"/>
  </r>
  <r>
    <s v="AR20048"/>
    <x v="2"/>
    <x v="48"/>
    <d v="2025-04-27T00:00:00"/>
    <n v="699.9"/>
    <s v="USD"/>
    <s v="Open"/>
    <m/>
    <s v="Net 45"/>
    <b v="1"/>
    <n v="321"/>
    <n v="276"/>
    <x v="0"/>
    <n v="699.9"/>
    <x v="1"/>
    <n v="0"/>
    <n v="699.9"/>
  </r>
  <r>
    <s v="AR20049"/>
    <x v="3"/>
    <x v="49"/>
    <d v="2024-07-09T00:00:00"/>
    <n v="498.51"/>
    <s v="AUD"/>
    <s v="Open"/>
    <m/>
    <s v="Net 45"/>
    <b v="1"/>
    <n v="613"/>
    <n v="568"/>
    <x v="0"/>
    <n v="498.51"/>
    <x v="0"/>
    <n v="0"/>
    <n v="498.51"/>
  </r>
  <r>
    <s v="AR20050"/>
    <x v="2"/>
    <x v="50"/>
    <d v="2023-05-06T00:00:00"/>
    <n v="1578.97"/>
    <s v="EUR"/>
    <s v="Partial"/>
    <m/>
    <s v="Net 45"/>
    <b v="1"/>
    <n v="1043"/>
    <n v="998"/>
    <x v="0"/>
    <n v="1578.97"/>
    <x v="0"/>
    <n v="0"/>
    <n v="1578.97"/>
  </r>
  <r>
    <s v="AR20051"/>
    <x v="2"/>
    <x v="51"/>
    <d v="2025-03-03T00:00:00"/>
    <n v="1246.19"/>
    <s v="GBP"/>
    <s v="Partial"/>
    <m/>
    <s v="Net 45"/>
    <b v="1"/>
    <n v="376"/>
    <n v="331"/>
    <x v="0"/>
    <n v="1246.19"/>
    <x v="1"/>
    <n v="0"/>
    <n v="1246.19"/>
  </r>
  <r>
    <s v="AR20052"/>
    <x v="4"/>
    <x v="52"/>
    <d v="2023-07-08T00:00:00"/>
    <n v="3082.8"/>
    <s v="GBP"/>
    <s v="Received"/>
    <d v="2023-07-08T00:00:00"/>
    <s v="Net 45"/>
    <b v="0"/>
    <n v="45"/>
    <n v="0"/>
    <x v="1"/>
    <n v="0"/>
    <x v="2"/>
    <n v="3082.8"/>
    <n v="0"/>
  </r>
  <r>
    <s v="AR20053"/>
    <x v="0"/>
    <x v="53"/>
    <d v="2025-05-24T00:00:00"/>
    <n v="473.33"/>
    <s v="CAD"/>
    <s v="Open"/>
    <m/>
    <s v="Net 45"/>
    <b v="1"/>
    <n v="294"/>
    <n v="249"/>
    <x v="0"/>
    <n v="473.33"/>
    <x v="1"/>
    <n v="0"/>
    <n v="473.33"/>
  </r>
  <r>
    <s v="AR20054"/>
    <x v="0"/>
    <x v="54"/>
    <d v="2024-08-21T00:00:00"/>
    <n v="5228.9399999999996"/>
    <s v="CAD"/>
    <s v="Partial"/>
    <m/>
    <s v="Net 45"/>
    <b v="1"/>
    <n v="570"/>
    <n v="525"/>
    <x v="0"/>
    <n v="5228.9399999999996"/>
    <x v="0"/>
    <n v="0"/>
    <n v="5228.9399999999996"/>
  </r>
  <r>
    <s v="AR20055"/>
    <x v="0"/>
    <x v="55"/>
    <d v="2023-08-30T00:00:00"/>
    <n v="3011.2"/>
    <s v="AUD"/>
    <s v="Open"/>
    <m/>
    <s v="Net 45"/>
    <b v="1"/>
    <n v="927"/>
    <n v="882"/>
    <x v="0"/>
    <n v="3011.2"/>
    <x v="0"/>
    <n v="0"/>
    <n v="3011.2"/>
  </r>
  <r>
    <s v="AR20056"/>
    <x v="2"/>
    <x v="56"/>
    <d v="2025-02-07T00:00:00"/>
    <n v="4681.96"/>
    <s v="USD"/>
    <s v="Partial"/>
    <m/>
    <s v="Net 45"/>
    <b v="1"/>
    <n v="400"/>
    <n v="355"/>
    <x v="0"/>
    <n v="4681.96"/>
    <x v="1"/>
    <n v="0"/>
    <n v="4681.96"/>
  </r>
  <r>
    <s v="AR20057"/>
    <x v="2"/>
    <x v="57"/>
    <d v="2023-07-16T00:00:00"/>
    <n v="814.13"/>
    <s v="USD"/>
    <s v="Received"/>
    <d v="2023-07-16T00:00:00"/>
    <s v="Net 45"/>
    <b v="0"/>
    <n v="45"/>
    <n v="0"/>
    <x v="1"/>
    <n v="0"/>
    <x v="2"/>
    <n v="814.13"/>
    <n v="0"/>
  </r>
  <r>
    <s v="AR20058"/>
    <x v="1"/>
    <x v="58"/>
    <d v="2023-10-21T00:00:00"/>
    <n v="4305.1099999999997"/>
    <s v="CAD"/>
    <s v="Partial"/>
    <m/>
    <s v="Net 45"/>
    <b v="1"/>
    <n v="875"/>
    <n v="830"/>
    <x v="0"/>
    <n v="4305.1099999999997"/>
    <x v="0"/>
    <n v="0"/>
    <n v="4305.1099999999997"/>
  </r>
  <r>
    <s v="AR20059"/>
    <x v="0"/>
    <x v="59"/>
    <d v="2023-08-13T00:00:00"/>
    <n v="902.23"/>
    <s v="AUD"/>
    <s v="Received"/>
    <d v="2023-08-13T00:00:00"/>
    <s v="Net 45"/>
    <b v="0"/>
    <n v="45"/>
    <n v="0"/>
    <x v="1"/>
    <n v="0"/>
    <x v="2"/>
    <n v="902.23"/>
    <n v="0"/>
  </r>
  <r>
    <s v="AR20060"/>
    <x v="2"/>
    <x v="60"/>
    <d v="2025-02-26T00:00:00"/>
    <n v="7045.91"/>
    <s v="USD"/>
    <s v="Partial"/>
    <m/>
    <s v="Net 45"/>
    <b v="1"/>
    <n v="381"/>
    <n v="336"/>
    <x v="0"/>
    <n v="7045.91"/>
    <x v="1"/>
    <n v="0"/>
    <n v="7045.91"/>
  </r>
  <r>
    <s v="AR20061"/>
    <x v="2"/>
    <x v="61"/>
    <d v="2025-05-27T00:00:00"/>
    <n v="425.01"/>
    <s v="EUR"/>
    <s v="Open"/>
    <m/>
    <s v="Net 45"/>
    <b v="1"/>
    <n v="291"/>
    <n v="246"/>
    <x v="0"/>
    <n v="425.01"/>
    <x v="1"/>
    <n v="0"/>
    <n v="425.01"/>
  </r>
  <r>
    <s v="AR20062"/>
    <x v="4"/>
    <x v="62"/>
    <d v="2023-12-04T00:00:00"/>
    <n v="839.83"/>
    <s v="USD"/>
    <s v="Open"/>
    <m/>
    <s v="Net 45"/>
    <b v="1"/>
    <n v="831"/>
    <n v="786"/>
    <x v="0"/>
    <n v="839.83"/>
    <x v="0"/>
    <n v="0"/>
    <n v="839.83"/>
  </r>
  <r>
    <s v="AR20063"/>
    <x v="3"/>
    <x v="63"/>
    <d v="2024-12-08T00:00:00"/>
    <n v="997.56"/>
    <s v="GBP"/>
    <s v="Open"/>
    <m/>
    <s v="Net 45"/>
    <b v="1"/>
    <n v="461"/>
    <n v="416"/>
    <x v="0"/>
    <n v="997.56"/>
    <x v="0"/>
    <n v="0"/>
    <n v="997.56"/>
  </r>
  <r>
    <s v="AR20064"/>
    <x v="0"/>
    <x v="64"/>
    <d v="2023-09-28T00:00:00"/>
    <n v="6142.65"/>
    <s v="USD"/>
    <s v="Open"/>
    <m/>
    <s v="Net 45"/>
    <b v="1"/>
    <n v="898"/>
    <n v="853"/>
    <x v="0"/>
    <n v="6142.65"/>
    <x v="0"/>
    <n v="0"/>
    <n v="6142.65"/>
  </r>
  <r>
    <s v="AR20065"/>
    <x v="2"/>
    <x v="65"/>
    <d v="2025-05-07T00:00:00"/>
    <n v="4402.5200000000004"/>
    <s v="CAD"/>
    <s v="Open"/>
    <m/>
    <s v="Net 45"/>
    <b v="1"/>
    <n v="311"/>
    <n v="266"/>
    <x v="0"/>
    <n v="4402.5200000000004"/>
    <x v="1"/>
    <n v="0"/>
    <n v="4402.5200000000004"/>
  </r>
  <r>
    <s v="AR20066"/>
    <x v="3"/>
    <x v="66"/>
    <d v="2024-08-24T00:00:00"/>
    <n v="7809.98"/>
    <s v="CAD"/>
    <s v="Open"/>
    <m/>
    <s v="Net 45"/>
    <b v="1"/>
    <n v="567"/>
    <n v="522"/>
    <x v="0"/>
    <n v="7809.98"/>
    <x v="0"/>
    <n v="0"/>
    <n v="7809.98"/>
  </r>
  <r>
    <s v="AR20067"/>
    <x v="1"/>
    <x v="67"/>
    <d v="2023-11-15T00:00:00"/>
    <n v="7348.09"/>
    <s v="CAD"/>
    <s v="Received"/>
    <d v="2023-11-15T00:00:00"/>
    <s v="Net 45"/>
    <b v="0"/>
    <n v="45"/>
    <n v="0"/>
    <x v="1"/>
    <n v="0"/>
    <x v="2"/>
    <n v="7348.09"/>
    <n v="0"/>
  </r>
  <r>
    <s v="AR20068"/>
    <x v="3"/>
    <x v="68"/>
    <d v="2024-03-19T00:00:00"/>
    <n v="2946.05"/>
    <s v="EUR"/>
    <s v="Partial"/>
    <m/>
    <s v="Net 45"/>
    <b v="1"/>
    <n v="725"/>
    <n v="680"/>
    <x v="0"/>
    <n v="2946.05"/>
    <x v="0"/>
    <n v="0"/>
    <n v="2946.05"/>
  </r>
  <r>
    <s v="AR20069"/>
    <x v="2"/>
    <x v="69"/>
    <d v="2024-07-23T00:00:00"/>
    <n v="700.95"/>
    <s v="CAD"/>
    <s v="Received"/>
    <d v="2024-07-23T00:00:00"/>
    <s v="Net 45"/>
    <b v="0"/>
    <n v="45"/>
    <n v="0"/>
    <x v="1"/>
    <n v="0"/>
    <x v="2"/>
    <n v="700.95"/>
    <n v="0"/>
  </r>
  <r>
    <s v="AR20070"/>
    <x v="1"/>
    <x v="70"/>
    <d v="2023-03-16T00:00:00"/>
    <n v="4822.1899999999996"/>
    <s v="EUR"/>
    <s v="Partial"/>
    <m/>
    <s v="Net 45"/>
    <b v="1"/>
    <n v="1094"/>
    <n v="1049"/>
    <x v="0"/>
    <n v="4822.1899999999996"/>
    <x v="0"/>
    <n v="0"/>
    <n v="4822.1899999999996"/>
  </r>
  <r>
    <s v="AR20071"/>
    <x v="3"/>
    <x v="68"/>
    <d v="2024-03-19T00:00:00"/>
    <n v="457.35"/>
    <s v="CAD"/>
    <s v="Partial"/>
    <m/>
    <s v="Net 45"/>
    <b v="1"/>
    <n v="725"/>
    <n v="680"/>
    <x v="0"/>
    <n v="457.35"/>
    <x v="0"/>
    <n v="0"/>
    <n v="457.35"/>
  </r>
  <r>
    <s v="AR20072"/>
    <x v="3"/>
    <x v="71"/>
    <d v="2023-11-07T00:00:00"/>
    <n v="2055.94"/>
    <s v="GBP"/>
    <s v="Partial"/>
    <m/>
    <s v="Net 45"/>
    <b v="1"/>
    <n v="858"/>
    <n v="813"/>
    <x v="0"/>
    <n v="2055.94"/>
    <x v="0"/>
    <n v="0"/>
    <n v="2055.94"/>
  </r>
  <r>
    <s v="AR20073"/>
    <x v="4"/>
    <x v="72"/>
    <d v="2024-06-08T00:00:00"/>
    <n v="6747.59"/>
    <s v="GBP"/>
    <s v="Partial"/>
    <m/>
    <s v="Net 45"/>
    <b v="1"/>
    <n v="644"/>
    <n v="599"/>
    <x v="0"/>
    <n v="6747.59"/>
    <x v="0"/>
    <n v="0"/>
    <n v="6747.59"/>
  </r>
  <r>
    <s v="AR20074"/>
    <x v="3"/>
    <x v="73"/>
    <d v="2024-11-29T00:00:00"/>
    <n v="3184.22"/>
    <s v="EUR"/>
    <s v="Partial"/>
    <m/>
    <s v="Net 45"/>
    <b v="1"/>
    <n v="470"/>
    <n v="425"/>
    <x v="0"/>
    <n v="3184.22"/>
    <x v="0"/>
    <n v="0"/>
    <n v="3184.22"/>
  </r>
  <r>
    <s v="AR20075"/>
    <x v="3"/>
    <x v="74"/>
    <d v="2025-04-02T00:00:00"/>
    <n v="5289.37"/>
    <s v="EUR"/>
    <s v="Received"/>
    <d v="2025-04-02T00:00:00"/>
    <s v="Net 45"/>
    <b v="0"/>
    <n v="45"/>
    <n v="0"/>
    <x v="1"/>
    <n v="0"/>
    <x v="2"/>
    <n v="5289.37"/>
    <n v="0"/>
  </r>
  <r>
    <s v="AR20076"/>
    <x v="0"/>
    <x v="75"/>
    <d v="2023-05-17T00:00:00"/>
    <n v="6399.62"/>
    <s v="GBP"/>
    <s v="Partial"/>
    <m/>
    <s v="Net 45"/>
    <b v="1"/>
    <n v="1032"/>
    <n v="987"/>
    <x v="0"/>
    <n v="6399.62"/>
    <x v="0"/>
    <n v="0"/>
    <n v="6399.62"/>
  </r>
  <r>
    <s v="AR20077"/>
    <x v="0"/>
    <x v="76"/>
    <d v="2023-08-14T00:00:00"/>
    <n v="775.03"/>
    <s v="EUR"/>
    <s v="Open"/>
    <m/>
    <s v="Net 45"/>
    <b v="1"/>
    <n v="943"/>
    <n v="898"/>
    <x v="0"/>
    <n v="775.03"/>
    <x v="0"/>
    <n v="0"/>
    <n v="775.03"/>
  </r>
  <r>
    <s v="AR20078"/>
    <x v="1"/>
    <x v="77"/>
    <d v="2024-11-11T00:00:00"/>
    <n v="3847.51"/>
    <s v="AUD"/>
    <s v="Partial"/>
    <m/>
    <s v="Net 45"/>
    <b v="1"/>
    <n v="488"/>
    <n v="443"/>
    <x v="0"/>
    <n v="3847.51"/>
    <x v="0"/>
    <n v="0"/>
    <n v="3847.51"/>
  </r>
  <r>
    <s v="AR20079"/>
    <x v="1"/>
    <x v="78"/>
    <d v="2025-05-14T00:00:00"/>
    <n v="7379.19"/>
    <s v="EUR"/>
    <s v="Received"/>
    <d v="2025-05-14T00:00:00"/>
    <s v="Net 45"/>
    <b v="0"/>
    <n v="45"/>
    <n v="0"/>
    <x v="1"/>
    <n v="0"/>
    <x v="2"/>
    <n v="7379.19"/>
    <n v="0"/>
  </r>
  <r>
    <s v="AR20080"/>
    <x v="3"/>
    <x v="79"/>
    <d v="2025-07-29T00:00:00"/>
    <n v="3736.92"/>
    <s v="EUR"/>
    <s v="Partial"/>
    <m/>
    <s v="Net 45"/>
    <b v="1"/>
    <n v="228"/>
    <n v="183"/>
    <x v="0"/>
    <n v="3736.92"/>
    <x v="1"/>
    <n v="0"/>
    <n v="3736.92"/>
  </r>
  <r>
    <s v="AR20081"/>
    <x v="4"/>
    <x v="80"/>
    <d v="2024-09-28T00:00:00"/>
    <n v="7917.43"/>
    <s v="GBP"/>
    <s v="Received"/>
    <d v="2024-09-28T00:00:00"/>
    <s v="Net 45"/>
    <b v="0"/>
    <n v="45"/>
    <n v="0"/>
    <x v="1"/>
    <n v="0"/>
    <x v="2"/>
    <n v="7917.43"/>
    <n v="0"/>
  </r>
  <r>
    <s v="AR20082"/>
    <x v="3"/>
    <x v="4"/>
    <d v="2024-09-21T00:00:00"/>
    <n v="7325.37"/>
    <s v="AUD"/>
    <s v="Partial"/>
    <m/>
    <s v="Net 45"/>
    <b v="1"/>
    <n v="539"/>
    <n v="494"/>
    <x v="0"/>
    <n v="7325.37"/>
    <x v="0"/>
    <n v="0"/>
    <n v="7325.37"/>
  </r>
  <r>
    <s v="AR20083"/>
    <x v="4"/>
    <x v="81"/>
    <d v="2023-09-07T00:00:00"/>
    <n v="3958.69"/>
    <s v="AUD"/>
    <s v="Partial"/>
    <m/>
    <s v="Net 45"/>
    <b v="1"/>
    <n v="919"/>
    <n v="874"/>
    <x v="0"/>
    <n v="3958.69"/>
    <x v="0"/>
    <n v="0"/>
    <n v="3958.69"/>
  </r>
  <r>
    <s v="AR20084"/>
    <x v="3"/>
    <x v="82"/>
    <d v="2024-08-05T00:00:00"/>
    <n v="996.98"/>
    <s v="AUD"/>
    <s v="Open"/>
    <m/>
    <s v="Net 45"/>
    <b v="1"/>
    <n v="586"/>
    <n v="541"/>
    <x v="0"/>
    <n v="996.98"/>
    <x v="0"/>
    <n v="0"/>
    <n v="996.98"/>
  </r>
  <r>
    <s v="AR20085"/>
    <x v="3"/>
    <x v="83"/>
    <d v="2023-09-18T00:00:00"/>
    <n v="5165.8999999999996"/>
    <s v="USD"/>
    <s v="Partial"/>
    <m/>
    <s v="Net 45"/>
    <b v="1"/>
    <n v="908"/>
    <n v="863"/>
    <x v="0"/>
    <n v="5165.8999999999996"/>
    <x v="0"/>
    <n v="0"/>
    <n v="5165.8999999999996"/>
  </r>
  <r>
    <s v="AR20086"/>
    <x v="3"/>
    <x v="84"/>
    <d v="2024-08-26T00:00:00"/>
    <n v="6048.66"/>
    <s v="EUR"/>
    <s v="Open"/>
    <m/>
    <s v="Net 45"/>
    <b v="1"/>
    <n v="565"/>
    <n v="520"/>
    <x v="0"/>
    <n v="6048.66"/>
    <x v="0"/>
    <n v="0"/>
    <n v="6048.66"/>
  </r>
  <r>
    <s v="AR20087"/>
    <x v="0"/>
    <x v="85"/>
    <d v="2024-01-30T00:00:00"/>
    <n v="1217.8699999999999"/>
    <s v="USD"/>
    <s v="Received"/>
    <d v="2024-01-30T00:00:00"/>
    <s v="Net 45"/>
    <b v="0"/>
    <n v="45"/>
    <n v="0"/>
    <x v="1"/>
    <n v="0"/>
    <x v="2"/>
    <n v="1217.8699999999999"/>
    <n v="0"/>
  </r>
  <r>
    <s v="AR20088"/>
    <x v="3"/>
    <x v="86"/>
    <d v="2024-05-13T00:00:00"/>
    <n v="7578.16"/>
    <s v="EUR"/>
    <s v="Partial"/>
    <m/>
    <s v="Net 45"/>
    <b v="1"/>
    <n v="670"/>
    <n v="625"/>
    <x v="0"/>
    <n v="7578.16"/>
    <x v="0"/>
    <n v="0"/>
    <n v="7578.16"/>
  </r>
  <r>
    <s v="AR20089"/>
    <x v="1"/>
    <x v="87"/>
    <d v="2023-06-30T00:00:00"/>
    <n v="2123.65"/>
    <s v="GBP"/>
    <s v="Open"/>
    <m/>
    <s v="Net 45"/>
    <b v="1"/>
    <n v="988"/>
    <n v="943"/>
    <x v="0"/>
    <n v="2123.65"/>
    <x v="0"/>
    <n v="0"/>
    <n v="2123.65"/>
  </r>
  <r>
    <s v="AR20090"/>
    <x v="2"/>
    <x v="88"/>
    <d v="2024-04-12T00:00:00"/>
    <n v="3260.89"/>
    <s v="CAD"/>
    <s v="Received"/>
    <d v="2024-04-12T00:00:00"/>
    <s v="Net 45"/>
    <b v="0"/>
    <n v="45"/>
    <n v="0"/>
    <x v="1"/>
    <n v="0"/>
    <x v="2"/>
    <n v="3260.89"/>
    <n v="0"/>
  </r>
  <r>
    <s v="AR20091"/>
    <x v="0"/>
    <x v="89"/>
    <d v="2025-02-22T00:00:00"/>
    <n v="3764.75"/>
    <s v="GBP"/>
    <s v="Open"/>
    <m/>
    <s v="Net 45"/>
    <b v="1"/>
    <n v="385"/>
    <n v="340"/>
    <x v="0"/>
    <n v="3764.75"/>
    <x v="1"/>
    <n v="0"/>
    <n v="3764.75"/>
  </r>
  <r>
    <s v="AR20092"/>
    <x v="4"/>
    <x v="90"/>
    <d v="2025-05-09T00:00:00"/>
    <n v="820.19"/>
    <s v="EUR"/>
    <s v="Partial"/>
    <m/>
    <s v="Net 45"/>
    <b v="1"/>
    <n v="309"/>
    <n v="264"/>
    <x v="0"/>
    <n v="820.19"/>
    <x v="1"/>
    <n v="0"/>
    <n v="820.19"/>
  </r>
  <r>
    <s v="AR20093"/>
    <x v="1"/>
    <x v="91"/>
    <d v="2025-06-24T00:00:00"/>
    <n v="5512.04"/>
    <s v="EUR"/>
    <s v="Received"/>
    <d v="2025-06-24T00:00:00"/>
    <s v="Net 45"/>
    <b v="0"/>
    <n v="45"/>
    <n v="0"/>
    <x v="1"/>
    <n v="0"/>
    <x v="2"/>
    <n v="5512.04"/>
    <n v="0"/>
  </r>
  <r>
    <s v="AR20094"/>
    <x v="3"/>
    <x v="92"/>
    <d v="2024-11-01T00:00:00"/>
    <n v="3114.54"/>
    <s v="EUR"/>
    <s v="Received"/>
    <d v="2024-11-01T00:00:00"/>
    <s v="Net 45"/>
    <b v="0"/>
    <n v="45"/>
    <n v="0"/>
    <x v="1"/>
    <n v="0"/>
    <x v="2"/>
    <n v="3114.54"/>
    <n v="0"/>
  </r>
  <r>
    <s v="AR20095"/>
    <x v="4"/>
    <x v="93"/>
    <d v="2024-12-02T00:00:00"/>
    <n v="2445.4899999999998"/>
    <s v="AUD"/>
    <s v="Open"/>
    <m/>
    <s v="Net 45"/>
    <b v="1"/>
    <n v="467"/>
    <n v="422"/>
    <x v="0"/>
    <n v="2445.4899999999998"/>
    <x v="0"/>
    <n v="0"/>
    <n v="2445.4899999999998"/>
  </r>
  <r>
    <s v="AR20096"/>
    <x v="3"/>
    <x v="94"/>
    <d v="2024-01-27T00:00:00"/>
    <n v="1998.78"/>
    <s v="EUR"/>
    <s v="Partial"/>
    <m/>
    <s v="Net 45"/>
    <b v="1"/>
    <n v="777"/>
    <n v="732"/>
    <x v="0"/>
    <n v="1998.78"/>
    <x v="0"/>
    <n v="0"/>
    <n v="1998.78"/>
  </r>
  <r>
    <s v="AR20097"/>
    <x v="1"/>
    <x v="95"/>
    <d v="2024-02-08T00:00:00"/>
    <n v="3998.83"/>
    <s v="AUD"/>
    <s v="Open"/>
    <m/>
    <s v="Net 45"/>
    <b v="1"/>
    <n v="765"/>
    <n v="720"/>
    <x v="0"/>
    <n v="3998.83"/>
    <x v="0"/>
    <n v="0"/>
    <n v="3998.83"/>
  </r>
  <r>
    <s v="AR20098"/>
    <x v="3"/>
    <x v="39"/>
    <d v="2023-09-19T00:00:00"/>
    <n v="7583.72"/>
    <s v="EUR"/>
    <s v="Open"/>
    <m/>
    <s v="Net 45"/>
    <b v="1"/>
    <n v="907"/>
    <n v="862"/>
    <x v="0"/>
    <n v="7583.72"/>
    <x v="0"/>
    <n v="0"/>
    <n v="7583.72"/>
  </r>
  <r>
    <s v="AR20099"/>
    <x v="4"/>
    <x v="96"/>
    <d v="2023-05-16T00:00:00"/>
    <n v="962.46"/>
    <s v="CAD"/>
    <s v="Open"/>
    <m/>
    <s v="Net 45"/>
    <b v="1"/>
    <n v="1033"/>
    <n v="988"/>
    <x v="0"/>
    <n v="962.46"/>
    <x v="0"/>
    <n v="0"/>
    <n v="962.46"/>
  </r>
  <r>
    <s v="AR20100"/>
    <x v="2"/>
    <x v="97"/>
    <d v="2024-05-08T00:00:00"/>
    <n v="2924.69"/>
    <s v="CAD"/>
    <s v="Open"/>
    <m/>
    <s v="Net 45"/>
    <b v="1"/>
    <n v="675"/>
    <n v="630"/>
    <x v="0"/>
    <n v="2924.69"/>
    <x v="0"/>
    <n v="0"/>
    <n v="2924.69"/>
  </r>
  <r>
    <s v="AR20101"/>
    <x v="2"/>
    <x v="98"/>
    <d v="2023-11-04T00:00:00"/>
    <n v="4442.67"/>
    <s v="EUR"/>
    <s v="Open"/>
    <m/>
    <s v="Net 45"/>
    <b v="1"/>
    <n v="861"/>
    <n v="816"/>
    <x v="0"/>
    <n v="4442.67"/>
    <x v="0"/>
    <n v="0"/>
    <n v="4442.67"/>
  </r>
  <r>
    <s v="AR20102"/>
    <x v="0"/>
    <x v="99"/>
    <d v="2025-08-01T00:00:00"/>
    <n v="1643.11"/>
    <s v="CAD"/>
    <s v="Received"/>
    <d v="2025-08-01T00:00:00"/>
    <s v="Net 45"/>
    <b v="0"/>
    <n v="45"/>
    <n v="0"/>
    <x v="1"/>
    <n v="0"/>
    <x v="2"/>
    <n v="1643.11"/>
    <n v="0"/>
  </r>
  <r>
    <s v="AR20103"/>
    <x v="2"/>
    <x v="100"/>
    <d v="2023-03-10T00:00:00"/>
    <n v="779.56"/>
    <s v="USD"/>
    <s v="Partial"/>
    <m/>
    <s v="Net 45"/>
    <b v="1"/>
    <n v="1100"/>
    <n v="1055"/>
    <x v="0"/>
    <n v="779.56"/>
    <x v="0"/>
    <n v="0"/>
    <n v="779.56"/>
  </r>
  <r>
    <s v="AR20104"/>
    <x v="0"/>
    <x v="101"/>
    <d v="2023-12-29T00:00:00"/>
    <n v="546.16"/>
    <s v="GBP"/>
    <s v="Open"/>
    <m/>
    <s v="Net 45"/>
    <b v="1"/>
    <n v="806"/>
    <n v="761"/>
    <x v="0"/>
    <n v="546.16"/>
    <x v="0"/>
    <n v="0"/>
    <n v="546.16"/>
  </r>
  <r>
    <s v="AR20105"/>
    <x v="4"/>
    <x v="102"/>
    <d v="2024-11-02T00:00:00"/>
    <n v="7954.05"/>
    <s v="CAD"/>
    <s v="Open"/>
    <m/>
    <s v="Net 45"/>
    <b v="1"/>
    <n v="497"/>
    <n v="452"/>
    <x v="0"/>
    <n v="7954.05"/>
    <x v="0"/>
    <n v="0"/>
    <n v="7954.05"/>
  </r>
  <r>
    <s v="AR20106"/>
    <x v="1"/>
    <x v="103"/>
    <d v="2024-10-23T00:00:00"/>
    <n v="3639.68"/>
    <s v="CAD"/>
    <s v="Open"/>
    <m/>
    <s v="Net 45"/>
    <b v="1"/>
    <n v="507"/>
    <n v="462"/>
    <x v="0"/>
    <n v="3639.68"/>
    <x v="0"/>
    <n v="0"/>
    <n v="3639.68"/>
  </r>
  <r>
    <s v="AR20107"/>
    <x v="4"/>
    <x v="104"/>
    <d v="2025-08-07T00:00:00"/>
    <n v="7625.21"/>
    <s v="AUD"/>
    <s v="Partial"/>
    <m/>
    <s v="Net 45"/>
    <b v="1"/>
    <n v="219"/>
    <n v="174"/>
    <x v="0"/>
    <n v="7625.21"/>
    <x v="3"/>
    <n v="0"/>
    <n v="7625.21"/>
  </r>
  <r>
    <s v="AR20108"/>
    <x v="4"/>
    <x v="105"/>
    <d v="2024-04-21T00:00:00"/>
    <n v="1585.28"/>
    <s v="CAD"/>
    <s v="Partial"/>
    <m/>
    <s v="Net 45"/>
    <b v="1"/>
    <n v="692"/>
    <n v="647"/>
    <x v="0"/>
    <n v="1585.28"/>
    <x v="0"/>
    <n v="0"/>
    <n v="1585.28"/>
  </r>
  <r>
    <s v="AR20109"/>
    <x v="3"/>
    <x v="106"/>
    <d v="2024-12-09T00:00:00"/>
    <n v="839.17"/>
    <s v="AUD"/>
    <s v="Open"/>
    <m/>
    <s v="Net 45"/>
    <b v="1"/>
    <n v="460"/>
    <n v="415"/>
    <x v="0"/>
    <n v="839.17"/>
    <x v="0"/>
    <n v="0"/>
    <n v="839.17"/>
  </r>
  <r>
    <s v="AR20110"/>
    <x v="2"/>
    <x v="74"/>
    <d v="2025-04-02T00:00:00"/>
    <n v="3881.62"/>
    <s v="EUR"/>
    <s v="Open"/>
    <m/>
    <s v="Net 45"/>
    <b v="1"/>
    <n v="346"/>
    <n v="301"/>
    <x v="0"/>
    <n v="3881.62"/>
    <x v="1"/>
    <n v="0"/>
    <n v="3881.62"/>
  </r>
  <r>
    <s v="AR20111"/>
    <x v="2"/>
    <x v="107"/>
    <d v="2023-08-20T00:00:00"/>
    <n v="7797.4"/>
    <s v="CAD"/>
    <s v="Open"/>
    <m/>
    <s v="Net 45"/>
    <b v="1"/>
    <n v="937"/>
    <n v="892"/>
    <x v="0"/>
    <n v="7797.4"/>
    <x v="0"/>
    <n v="0"/>
    <n v="7797.4"/>
  </r>
  <r>
    <s v="AR20112"/>
    <x v="3"/>
    <x v="108"/>
    <d v="2024-06-06T00:00:00"/>
    <n v="3488.89"/>
    <s v="USD"/>
    <s v="Received"/>
    <d v="2024-06-06T00:00:00"/>
    <s v="Net 45"/>
    <b v="0"/>
    <n v="45"/>
    <n v="0"/>
    <x v="1"/>
    <n v="0"/>
    <x v="2"/>
    <n v="3488.89"/>
    <n v="0"/>
  </r>
  <r>
    <s v="AR20113"/>
    <x v="1"/>
    <x v="109"/>
    <d v="2024-03-24T00:00:00"/>
    <n v="2014.85"/>
    <s v="CAD"/>
    <s v="Partial"/>
    <m/>
    <s v="Net 45"/>
    <b v="1"/>
    <n v="720"/>
    <n v="675"/>
    <x v="0"/>
    <n v="2014.85"/>
    <x v="0"/>
    <n v="0"/>
    <n v="2014.85"/>
  </r>
  <r>
    <s v="AR20114"/>
    <x v="4"/>
    <x v="110"/>
    <d v="2024-01-18T00:00:00"/>
    <n v="4892.3500000000004"/>
    <s v="AUD"/>
    <s v="Open"/>
    <m/>
    <s v="Net 45"/>
    <b v="1"/>
    <n v="786"/>
    <n v="741"/>
    <x v="0"/>
    <n v="4892.3500000000004"/>
    <x v="0"/>
    <n v="0"/>
    <n v="4892.3500000000004"/>
  </r>
  <r>
    <s v="AR20115"/>
    <x v="2"/>
    <x v="111"/>
    <d v="2025-07-15T00:00:00"/>
    <n v="4299.43"/>
    <s v="USD"/>
    <s v="Partial"/>
    <m/>
    <s v="Net 45"/>
    <b v="1"/>
    <n v="242"/>
    <n v="197"/>
    <x v="0"/>
    <n v="4299.43"/>
    <x v="1"/>
    <n v="0"/>
    <n v="4299.43"/>
  </r>
  <r>
    <s v="AR20116"/>
    <x v="3"/>
    <x v="112"/>
    <d v="2023-07-27T00:00:00"/>
    <n v="5721"/>
    <s v="USD"/>
    <s v="Open"/>
    <m/>
    <s v="Net 45"/>
    <b v="1"/>
    <n v="961"/>
    <n v="916"/>
    <x v="0"/>
    <n v="5721"/>
    <x v="0"/>
    <n v="0"/>
    <n v="5721"/>
  </r>
  <r>
    <s v="AR20117"/>
    <x v="1"/>
    <x v="113"/>
    <d v="2023-10-30T00:00:00"/>
    <n v="7503.51"/>
    <s v="USD"/>
    <s v="Partial"/>
    <m/>
    <s v="Net 45"/>
    <b v="1"/>
    <n v="866"/>
    <n v="821"/>
    <x v="0"/>
    <n v="7503.51"/>
    <x v="0"/>
    <n v="0"/>
    <n v="7503.51"/>
  </r>
  <r>
    <s v="AR20118"/>
    <x v="2"/>
    <x v="114"/>
    <d v="2025-06-04T00:00:00"/>
    <n v="971.21"/>
    <s v="USD"/>
    <s v="Received"/>
    <d v="2025-06-04T00:00:00"/>
    <s v="Net 45"/>
    <b v="0"/>
    <n v="45"/>
    <n v="0"/>
    <x v="1"/>
    <n v="0"/>
    <x v="2"/>
    <n v="971.21"/>
    <n v="0"/>
  </r>
  <r>
    <s v="AR20119"/>
    <x v="4"/>
    <x v="115"/>
    <d v="2024-08-16T00:00:00"/>
    <n v="271.08999999999997"/>
    <s v="USD"/>
    <s v="Received"/>
    <d v="2024-08-16T00:00:00"/>
    <s v="Net 45"/>
    <b v="0"/>
    <n v="45"/>
    <n v="0"/>
    <x v="1"/>
    <n v="0"/>
    <x v="2"/>
    <n v="271.08999999999997"/>
    <n v="0"/>
  </r>
  <r>
    <s v="AR20120"/>
    <x v="2"/>
    <x v="116"/>
    <d v="2025-05-26T00:00:00"/>
    <n v="3411.27"/>
    <s v="GBP"/>
    <s v="Open"/>
    <m/>
    <s v="Net 45"/>
    <b v="1"/>
    <n v="292"/>
    <n v="247"/>
    <x v="0"/>
    <n v="3411.27"/>
    <x v="1"/>
    <n v="0"/>
    <n v="3411.27"/>
  </r>
  <r>
    <s v="AR20121"/>
    <x v="3"/>
    <x v="117"/>
    <d v="2025-03-07T00:00:00"/>
    <n v="785.47"/>
    <s v="AUD"/>
    <s v="Partial"/>
    <m/>
    <s v="Net 45"/>
    <b v="1"/>
    <n v="372"/>
    <n v="327"/>
    <x v="0"/>
    <n v="785.47"/>
    <x v="1"/>
    <n v="0"/>
    <n v="785.47"/>
  </r>
  <r>
    <s v="AR20122"/>
    <x v="4"/>
    <x v="118"/>
    <d v="2024-05-03T00:00:00"/>
    <n v="1451.37"/>
    <s v="CAD"/>
    <s v="Partial"/>
    <m/>
    <s v="Net 45"/>
    <b v="1"/>
    <n v="680"/>
    <n v="635"/>
    <x v="0"/>
    <n v="1451.37"/>
    <x v="0"/>
    <n v="0"/>
    <n v="1451.37"/>
  </r>
  <r>
    <s v="AR20123"/>
    <x v="3"/>
    <x v="119"/>
    <d v="2023-07-30T00:00:00"/>
    <n v="4225.25"/>
    <s v="AUD"/>
    <s v="Received"/>
    <d v="2023-07-30T00:00:00"/>
    <s v="Net 45"/>
    <b v="0"/>
    <n v="45"/>
    <n v="0"/>
    <x v="1"/>
    <n v="0"/>
    <x v="2"/>
    <n v="4225.25"/>
    <n v="0"/>
  </r>
  <r>
    <s v="AR20124"/>
    <x v="3"/>
    <x v="120"/>
    <d v="2023-04-06T00:00:00"/>
    <n v="1416.74"/>
    <s v="EUR"/>
    <s v="Partial"/>
    <m/>
    <s v="Net 45"/>
    <b v="1"/>
    <n v="1073"/>
    <n v="1028"/>
    <x v="0"/>
    <n v="1416.74"/>
    <x v="0"/>
    <n v="0"/>
    <n v="1416.74"/>
  </r>
  <r>
    <s v="AR20125"/>
    <x v="4"/>
    <x v="121"/>
    <d v="2025-07-14T00:00:00"/>
    <n v="5473.58"/>
    <s v="EUR"/>
    <s v="Received"/>
    <d v="2025-07-14T00:00:00"/>
    <s v="Net 45"/>
    <b v="0"/>
    <n v="45"/>
    <n v="0"/>
    <x v="1"/>
    <n v="0"/>
    <x v="2"/>
    <n v="5473.58"/>
    <n v="0"/>
  </r>
  <r>
    <s v="AR20126"/>
    <x v="4"/>
    <x v="122"/>
    <d v="2023-09-11T00:00:00"/>
    <n v="5239.3"/>
    <s v="CAD"/>
    <s v="Partial"/>
    <m/>
    <s v="Net 45"/>
    <b v="1"/>
    <n v="915"/>
    <n v="870"/>
    <x v="0"/>
    <n v="5239.3"/>
    <x v="0"/>
    <n v="0"/>
    <n v="5239.3"/>
  </r>
  <r>
    <s v="AR20127"/>
    <x v="1"/>
    <x v="123"/>
    <d v="2023-04-26T00:00:00"/>
    <n v="5141.1899999999996"/>
    <s v="CAD"/>
    <s v="Open"/>
    <m/>
    <s v="Net 45"/>
    <b v="1"/>
    <n v="1053"/>
    <n v="1008"/>
    <x v="0"/>
    <n v="5141.1899999999996"/>
    <x v="0"/>
    <n v="0"/>
    <n v="5141.1899999999996"/>
  </r>
  <r>
    <s v="AR20128"/>
    <x v="2"/>
    <x v="124"/>
    <d v="2023-12-28T00:00:00"/>
    <n v="7401.81"/>
    <s v="GBP"/>
    <s v="Received"/>
    <d v="2023-12-28T00:00:00"/>
    <s v="Net 45"/>
    <b v="0"/>
    <n v="45"/>
    <n v="0"/>
    <x v="1"/>
    <n v="0"/>
    <x v="2"/>
    <n v="7401.81"/>
    <n v="0"/>
  </r>
  <r>
    <s v="AR20129"/>
    <x v="4"/>
    <x v="125"/>
    <d v="2023-12-14T00:00:00"/>
    <n v="6909.77"/>
    <s v="EUR"/>
    <s v="Partial"/>
    <m/>
    <s v="Net 45"/>
    <b v="1"/>
    <n v="821"/>
    <n v="776"/>
    <x v="0"/>
    <n v="6909.77"/>
    <x v="0"/>
    <n v="0"/>
    <n v="6909.77"/>
  </r>
  <r>
    <s v="AR20130"/>
    <x v="4"/>
    <x v="126"/>
    <d v="2023-11-12T00:00:00"/>
    <n v="3554.68"/>
    <s v="USD"/>
    <s v="Received"/>
    <d v="2023-11-12T00:00:00"/>
    <s v="Net 45"/>
    <b v="0"/>
    <n v="45"/>
    <n v="0"/>
    <x v="1"/>
    <n v="0"/>
    <x v="2"/>
    <n v="3554.68"/>
    <n v="0"/>
  </r>
  <r>
    <s v="AR20131"/>
    <x v="1"/>
    <x v="127"/>
    <d v="2023-11-09T00:00:00"/>
    <n v="3944.66"/>
    <s v="EUR"/>
    <s v="Partial"/>
    <m/>
    <s v="Net 45"/>
    <b v="1"/>
    <n v="856"/>
    <n v="811"/>
    <x v="0"/>
    <n v="3944.66"/>
    <x v="0"/>
    <n v="0"/>
    <n v="3944.66"/>
  </r>
  <r>
    <s v="AR20132"/>
    <x v="0"/>
    <x v="88"/>
    <d v="2024-04-12T00:00:00"/>
    <n v="1328.09"/>
    <s v="USD"/>
    <s v="Received"/>
    <d v="2024-04-12T00:00:00"/>
    <s v="Net 45"/>
    <b v="0"/>
    <n v="45"/>
    <n v="0"/>
    <x v="1"/>
    <n v="0"/>
    <x v="2"/>
    <n v="1328.09"/>
    <n v="0"/>
  </r>
  <r>
    <s v="AR20133"/>
    <x v="0"/>
    <x v="128"/>
    <d v="2025-07-11T00:00:00"/>
    <n v="6057.16"/>
    <s v="CAD"/>
    <s v="Received"/>
    <d v="2025-07-11T00:00:00"/>
    <s v="Net 45"/>
    <b v="0"/>
    <n v="45"/>
    <n v="0"/>
    <x v="1"/>
    <n v="0"/>
    <x v="2"/>
    <n v="6057.16"/>
    <n v="0"/>
  </r>
  <r>
    <s v="AR20134"/>
    <x v="3"/>
    <x v="38"/>
    <d v="2023-12-15T00:00:00"/>
    <n v="1009.43"/>
    <s v="CAD"/>
    <s v="Open"/>
    <m/>
    <s v="Net 45"/>
    <b v="1"/>
    <n v="820"/>
    <n v="775"/>
    <x v="0"/>
    <n v="1009.43"/>
    <x v="0"/>
    <n v="0"/>
    <n v="1009.43"/>
  </r>
  <r>
    <s v="AR20135"/>
    <x v="1"/>
    <x v="129"/>
    <d v="2023-08-03T00:00:00"/>
    <n v="4953.59"/>
    <s v="AUD"/>
    <s v="Received"/>
    <d v="2023-08-03T00:00:00"/>
    <s v="Net 45"/>
    <b v="0"/>
    <n v="45"/>
    <n v="0"/>
    <x v="1"/>
    <n v="0"/>
    <x v="2"/>
    <n v="4953.59"/>
    <n v="0"/>
  </r>
  <r>
    <s v="AR20136"/>
    <x v="4"/>
    <x v="130"/>
    <d v="2023-03-04T00:00:00"/>
    <n v="1113.25"/>
    <s v="GBP"/>
    <s v="Received"/>
    <d v="2023-03-04T00:00:00"/>
    <s v="Net 45"/>
    <b v="0"/>
    <n v="45"/>
    <n v="0"/>
    <x v="1"/>
    <n v="0"/>
    <x v="2"/>
    <n v="1113.25"/>
    <n v="0"/>
  </r>
  <r>
    <s v="AR20137"/>
    <x v="2"/>
    <x v="131"/>
    <d v="2025-05-13T00:00:00"/>
    <n v="1115.26"/>
    <s v="EUR"/>
    <s v="Open"/>
    <m/>
    <s v="Net 45"/>
    <b v="1"/>
    <n v="305"/>
    <n v="260"/>
    <x v="0"/>
    <n v="1115.26"/>
    <x v="1"/>
    <n v="0"/>
    <n v="1115.26"/>
  </r>
  <r>
    <s v="AR20138"/>
    <x v="4"/>
    <x v="132"/>
    <d v="2024-06-12T00:00:00"/>
    <n v="2676.36"/>
    <s v="EUR"/>
    <s v="Received"/>
    <d v="2024-06-12T00:00:00"/>
    <s v="Net 45"/>
    <b v="0"/>
    <n v="45"/>
    <n v="0"/>
    <x v="1"/>
    <n v="0"/>
    <x v="2"/>
    <n v="2676.36"/>
    <n v="0"/>
  </r>
  <r>
    <s v="AR20139"/>
    <x v="2"/>
    <x v="133"/>
    <d v="2023-11-01T00:00:00"/>
    <n v="2786.7"/>
    <s v="CAD"/>
    <s v="Partial"/>
    <m/>
    <s v="Net 45"/>
    <b v="1"/>
    <n v="864"/>
    <n v="819"/>
    <x v="0"/>
    <n v="2786.7"/>
    <x v="0"/>
    <n v="0"/>
    <n v="2786.7"/>
  </r>
  <r>
    <s v="AR20140"/>
    <x v="0"/>
    <x v="134"/>
    <d v="2025-07-28T00:00:00"/>
    <n v="4407.9399999999996"/>
    <s v="AUD"/>
    <s v="Open"/>
    <m/>
    <s v="Net 45"/>
    <b v="1"/>
    <n v="229"/>
    <n v="184"/>
    <x v="0"/>
    <n v="4407.9399999999996"/>
    <x v="1"/>
    <n v="0"/>
    <n v="4407.9399999999996"/>
  </r>
  <r>
    <s v="AR20141"/>
    <x v="0"/>
    <x v="135"/>
    <d v="2024-12-06T00:00:00"/>
    <n v="4894.13"/>
    <s v="USD"/>
    <s v="Partial"/>
    <m/>
    <s v="Net 45"/>
    <b v="1"/>
    <n v="463"/>
    <n v="418"/>
    <x v="0"/>
    <n v="4894.13"/>
    <x v="0"/>
    <n v="0"/>
    <n v="4894.13"/>
  </r>
  <r>
    <s v="AR20142"/>
    <x v="2"/>
    <x v="91"/>
    <d v="2025-06-24T00:00:00"/>
    <n v="6832.48"/>
    <s v="GBP"/>
    <s v="Open"/>
    <m/>
    <s v="Net 45"/>
    <b v="1"/>
    <n v="263"/>
    <n v="218"/>
    <x v="0"/>
    <n v="6832.48"/>
    <x v="1"/>
    <n v="0"/>
    <n v="6832.48"/>
  </r>
  <r>
    <s v="AR20143"/>
    <x v="0"/>
    <x v="136"/>
    <d v="2024-10-19T00:00:00"/>
    <n v="2060.19"/>
    <s v="CAD"/>
    <s v="Open"/>
    <m/>
    <s v="Net 45"/>
    <b v="1"/>
    <n v="511"/>
    <n v="466"/>
    <x v="0"/>
    <n v="2060.19"/>
    <x v="0"/>
    <n v="0"/>
    <n v="2060.19"/>
  </r>
  <r>
    <s v="AR20144"/>
    <x v="4"/>
    <x v="137"/>
    <d v="2025-06-01T00:00:00"/>
    <n v="6302.98"/>
    <s v="GBP"/>
    <s v="Open"/>
    <m/>
    <s v="Net 45"/>
    <b v="1"/>
    <n v="286"/>
    <n v="241"/>
    <x v="0"/>
    <n v="6302.98"/>
    <x v="1"/>
    <n v="0"/>
    <n v="6302.98"/>
  </r>
  <r>
    <s v="AR20145"/>
    <x v="4"/>
    <x v="138"/>
    <d v="2023-09-25T00:00:00"/>
    <n v="6748"/>
    <s v="AUD"/>
    <s v="Partial"/>
    <m/>
    <s v="Net 45"/>
    <b v="1"/>
    <n v="901"/>
    <n v="856"/>
    <x v="0"/>
    <n v="6748"/>
    <x v="0"/>
    <n v="0"/>
    <n v="6748"/>
  </r>
  <r>
    <s v="AR20146"/>
    <x v="3"/>
    <x v="139"/>
    <d v="2024-11-28T00:00:00"/>
    <n v="7996.24"/>
    <s v="CAD"/>
    <s v="Partial"/>
    <m/>
    <s v="Net 45"/>
    <b v="1"/>
    <n v="471"/>
    <n v="426"/>
    <x v="0"/>
    <n v="7996.24"/>
    <x v="0"/>
    <n v="0"/>
    <n v="7996.24"/>
  </r>
  <r>
    <s v="AR20147"/>
    <x v="2"/>
    <x v="140"/>
    <d v="2025-03-13T00:00:00"/>
    <n v="1809.76"/>
    <s v="AUD"/>
    <s v="Received"/>
    <d v="2025-03-13T00:00:00"/>
    <s v="Net 45"/>
    <b v="0"/>
    <n v="45"/>
    <n v="0"/>
    <x v="1"/>
    <n v="0"/>
    <x v="2"/>
    <n v="1809.76"/>
    <n v="0"/>
  </r>
  <r>
    <s v="AR20148"/>
    <x v="0"/>
    <x v="141"/>
    <d v="2025-05-18T00:00:00"/>
    <n v="6175.65"/>
    <s v="CAD"/>
    <s v="Partial"/>
    <m/>
    <s v="Net 45"/>
    <b v="1"/>
    <n v="300"/>
    <n v="255"/>
    <x v="0"/>
    <n v="6175.65"/>
    <x v="1"/>
    <n v="0"/>
    <n v="6175.65"/>
  </r>
  <r>
    <s v="AR20149"/>
    <x v="3"/>
    <x v="29"/>
    <d v="2024-10-26T00:00:00"/>
    <n v="1636.23"/>
    <s v="AUD"/>
    <s v="Open"/>
    <m/>
    <s v="Net 45"/>
    <b v="1"/>
    <n v="504"/>
    <n v="459"/>
    <x v="0"/>
    <n v="1636.23"/>
    <x v="0"/>
    <n v="0"/>
    <n v="1636.23"/>
  </r>
  <r>
    <s v="AR20150"/>
    <x v="4"/>
    <x v="102"/>
    <d v="2024-11-02T00:00:00"/>
    <n v="7573.95"/>
    <s v="GBP"/>
    <s v="Received"/>
    <d v="2024-11-02T00:00:00"/>
    <s v="Net 45"/>
    <b v="0"/>
    <n v="45"/>
    <n v="0"/>
    <x v="1"/>
    <n v="0"/>
    <x v="2"/>
    <n v="7573.95"/>
    <n v="0"/>
  </r>
  <r>
    <s v="AR20151"/>
    <x v="3"/>
    <x v="142"/>
    <d v="2023-07-29T00:00:00"/>
    <n v="1194.4100000000001"/>
    <s v="USD"/>
    <s v="Open"/>
    <m/>
    <s v="Net 45"/>
    <b v="1"/>
    <n v="959"/>
    <n v="914"/>
    <x v="0"/>
    <n v="1194.4100000000001"/>
    <x v="0"/>
    <n v="0"/>
    <n v="1194.4100000000001"/>
  </r>
  <r>
    <s v="AR20152"/>
    <x v="0"/>
    <x v="64"/>
    <d v="2023-09-28T00:00:00"/>
    <n v="3323.19"/>
    <s v="EUR"/>
    <s v="Received"/>
    <d v="2023-09-28T00:00:00"/>
    <s v="Net 45"/>
    <b v="0"/>
    <n v="45"/>
    <n v="0"/>
    <x v="1"/>
    <n v="0"/>
    <x v="2"/>
    <n v="3323.19"/>
    <n v="0"/>
  </r>
  <r>
    <s v="AR20153"/>
    <x v="2"/>
    <x v="143"/>
    <d v="2025-01-15T00:00:00"/>
    <n v="426.96"/>
    <s v="CAD"/>
    <s v="Open"/>
    <m/>
    <s v="Net 45"/>
    <b v="1"/>
    <n v="423"/>
    <n v="378"/>
    <x v="0"/>
    <n v="426.96"/>
    <x v="0"/>
    <n v="0"/>
    <n v="426.96"/>
  </r>
  <r>
    <s v="AR20154"/>
    <x v="4"/>
    <x v="144"/>
    <d v="2025-06-21T00:00:00"/>
    <n v="3349.63"/>
    <s v="EUR"/>
    <s v="Partial"/>
    <m/>
    <s v="Net 45"/>
    <b v="1"/>
    <n v="266"/>
    <n v="221"/>
    <x v="0"/>
    <n v="3349.63"/>
    <x v="1"/>
    <n v="0"/>
    <n v="3349.63"/>
  </r>
  <r>
    <s v="AR20155"/>
    <x v="1"/>
    <x v="145"/>
    <d v="2023-07-12T00:00:00"/>
    <n v="2205.42"/>
    <s v="AUD"/>
    <s v="Received"/>
    <d v="2023-07-12T00:00:00"/>
    <s v="Net 45"/>
    <b v="0"/>
    <n v="45"/>
    <n v="0"/>
    <x v="1"/>
    <n v="0"/>
    <x v="2"/>
    <n v="2205.42"/>
    <n v="0"/>
  </r>
  <r>
    <s v="AR20156"/>
    <x v="4"/>
    <x v="146"/>
    <d v="2023-06-17T00:00:00"/>
    <n v="3681.26"/>
    <s v="AUD"/>
    <s v="Partial"/>
    <m/>
    <s v="Net 45"/>
    <b v="1"/>
    <n v="1001"/>
    <n v="956"/>
    <x v="0"/>
    <n v="3681.26"/>
    <x v="0"/>
    <n v="0"/>
    <n v="3681.26"/>
  </r>
  <r>
    <s v="AR20157"/>
    <x v="4"/>
    <x v="147"/>
    <d v="2024-08-29T00:00:00"/>
    <n v="4481.24"/>
    <s v="GBP"/>
    <s v="Received"/>
    <d v="2024-08-29T00:00:00"/>
    <s v="Net 45"/>
    <b v="0"/>
    <n v="45"/>
    <n v="0"/>
    <x v="1"/>
    <n v="0"/>
    <x v="2"/>
    <n v="4481.24"/>
    <n v="0"/>
  </r>
  <r>
    <s v="AR20158"/>
    <x v="1"/>
    <x v="148"/>
    <d v="2025-03-23T00:00:00"/>
    <n v="6512.91"/>
    <s v="CAD"/>
    <s v="Open"/>
    <m/>
    <s v="Net 45"/>
    <b v="1"/>
    <n v="356"/>
    <n v="311"/>
    <x v="0"/>
    <n v="6512.91"/>
    <x v="1"/>
    <n v="0"/>
    <n v="6512.91"/>
  </r>
  <r>
    <s v="AR20159"/>
    <x v="2"/>
    <x v="149"/>
    <d v="2024-01-24T00:00:00"/>
    <n v="5880.66"/>
    <s v="AUD"/>
    <s v="Partial"/>
    <m/>
    <s v="Net 45"/>
    <b v="1"/>
    <n v="780"/>
    <n v="735"/>
    <x v="0"/>
    <n v="5880.66"/>
    <x v="0"/>
    <n v="0"/>
    <n v="5880.66"/>
  </r>
  <r>
    <s v="AR20160"/>
    <x v="1"/>
    <x v="150"/>
    <d v="2025-04-12T00:00:00"/>
    <n v="6131.33"/>
    <s v="USD"/>
    <s v="Open"/>
    <m/>
    <s v="Net 45"/>
    <b v="1"/>
    <n v="336"/>
    <n v="291"/>
    <x v="0"/>
    <n v="6131.33"/>
    <x v="1"/>
    <n v="0"/>
    <n v="6131.33"/>
  </r>
  <r>
    <s v="AR20161"/>
    <x v="4"/>
    <x v="120"/>
    <d v="2023-04-06T00:00:00"/>
    <n v="5140.8500000000004"/>
    <s v="CAD"/>
    <s v="Partial"/>
    <m/>
    <s v="Net 45"/>
    <b v="1"/>
    <n v="1073"/>
    <n v="1028"/>
    <x v="0"/>
    <n v="5140.8500000000004"/>
    <x v="0"/>
    <n v="0"/>
    <n v="5140.8500000000004"/>
  </r>
  <r>
    <s v="AR20162"/>
    <x v="2"/>
    <x v="151"/>
    <d v="2023-05-18T00:00:00"/>
    <n v="955.2"/>
    <s v="AUD"/>
    <s v="Received"/>
    <d v="2023-05-18T00:00:00"/>
    <s v="Net 45"/>
    <b v="0"/>
    <n v="45"/>
    <n v="0"/>
    <x v="1"/>
    <n v="0"/>
    <x v="2"/>
    <n v="955.2"/>
    <n v="0"/>
  </r>
  <r>
    <s v="AR20163"/>
    <x v="3"/>
    <x v="152"/>
    <d v="2023-06-02T00:00:00"/>
    <n v="3300.51"/>
    <s v="EUR"/>
    <s v="Received"/>
    <d v="2023-06-02T00:00:00"/>
    <s v="Net 45"/>
    <b v="0"/>
    <n v="45"/>
    <n v="0"/>
    <x v="1"/>
    <n v="0"/>
    <x v="2"/>
    <n v="3300.51"/>
    <n v="0"/>
  </r>
  <r>
    <s v="AR20164"/>
    <x v="3"/>
    <x v="2"/>
    <d v="2025-02-08T00:00:00"/>
    <n v="4647.5"/>
    <s v="AUD"/>
    <s v="Received"/>
    <d v="2025-02-08T00:00:00"/>
    <s v="Net 45"/>
    <b v="0"/>
    <n v="45"/>
    <n v="0"/>
    <x v="1"/>
    <n v="0"/>
    <x v="2"/>
    <n v="4647.5"/>
    <n v="0"/>
  </r>
  <r>
    <s v="AR20165"/>
    <x v="3"/>
    <x v="126"/>
    <d v="2023-11-12T00:00:00"/>
    <n v="2799.03"/>
    <s v="AUD"/>
    <s v="Open"/>
    <m/>
    <s v="Net 45"/>
    <b v="1"/>
    <n v="853"/>
    <n v="808"/>
    <x v="0"/>
    <n v="2799.03"/>
    <x v="0"/>
    <n v="0"/>
    <n v="2799.03"/>
  </r>
  <r>
    <s v="AR20166"/>
    <x v="2"/>
    <x v="153"/>
    <d v="2024-09-09T00:00:00"/>
    <n v="6835.74"/>
    <s v="EUR"/>
    <s v="Partial"/>
    <m/>
    <s v="Net 45"/>
    <b v="1"/>
    <n v="551"/>
    <n v="506"/>
    <x v="0"/>
    <n v="6835.74"/>
    <x v="0"/>
    <n v="0"/>
    <n v="6835.74"/>
  </r>
  <r>
    <s v="AR20167"/>
    <x v="1"/>
    <x v="91"/>
    <d v="2025-06-24T00:00:00"/>
    <n v="6160.95"/>
    <s v="GBP"/>
    <s v="Open"/>
    <m/>
    <s v="Net 45"/>
    <b v="1"/>
    <n v="263"/>
    <n v="218"/>
    <x v="0"/>
    <n v="6160.95"/>
    <x v="1"/>
    <n v="0"/>
    <n v="6160.95"/>
  </r>
  <r>
    <s v="AR20168"/>
    <x v="3"/>
    <x v="116"/>
    <d v="2025-05-26T00:00:00"/>
    <n v="1275.3699999999999"/>
    <s v="EUR"/>
    <s v="Received"/>
    <d v="2025-05-26T00:00:00"/>
    <s v="Net 45"/>
    <b v="0"/>
    <n v="45"/>
    <n v="0"/>
    <x v="1"/>
    <n v="0"/>
    <x v="2"/>
    <n v="1275.3699999999999"/>
    <n v="0"/>
  </r>
  <r>
    <s v="AR20169"/>
    <x v="1"/>
    <x v="24"/>
    <d v="2023-08-22T00:00:00"/>
    <n v="6366.69"/>
    <s v="GBP"/>
    <s v="Received"/>
    <d v="2023-08-22T00:00:00"/>
    <s v="Net 45"/>
    <b v="0"/>
    <n v="45"/>
    <n v="0"/>
    <x v="1"/>
    <n v="0"/>
    <x v="2"/>
    <n v="6366.69"/>
    <n v="0"/>
  </r>
  <r>
    <s v="AR20170"/>
    <x v="4"/>
    <x v="154"/>
    <d v="2024-04-17T00:00:00"/>
    <n v="2426.38"/>
    <s v="GBP"/>
    <s v="Open"/>
    <m/>
    <s v="Net 45"/>
    <b v="1"/>
    <n v="696"/>
    <n v="651"/>
    <x v="0"/>
    <n v="2426.38"/>
    <x v="0"/>
    <n v="0"/>
    <n v="2426.38"/>
  </r>
  <r>
    <s v="AR20171"/>
    <x v="4"/>
    <x v="155"/>
    <d v="2023-10-25T00:00:00"/>
    <n v="5499.32"/>
    <s v="CAD"/>
    <s v="Received"/>
    <d v="2023-10-25T00:00:00"/>
    <s v="Net 45"/>
    <b v="0"/>
    <n v="45"/>
    <n v="0"/>
    <x v="1"/>
    <n v="0"/>
    <x v="2"/>
    <n v="5499.32"/>
    <n v="0"/>
  </r>
  <r>
    <s v="AR20172"/>
    <x v="1"/>
    <x v="59"/>
    <d v="2023-08-13T00:00:00"/>
    <n v="2573.4899999999998"/>
    <s v="CAD"/>
    <s v="Received"/>
    <d v="2023-08-13T00:00:00"/>
    <s v="Net 45"/>
    <b v="0"/>
    <n v="45"/>
    <n v="0"/>
    <x v="1"/>
    <n v="0"/>
    <x v="2"/>
    <n v="2573.4899999999998"/>
    <n v="0"/>
  </r>
  <r>
    <s v="AR20173"/>
    <x v="4"/>
    <x v="156"/>
    <d v="2023-02-16T00:00:00"/>
    <n v="895.39"/>
    <s v="EUR"/>
    <s v="Open"/>
    <m/>
    <s v="Net 45"/>
    <b v="1"/>
    <n v="1122"/>
    <n v="1077"/>
    <x v="0"/>
    <n v="895.39"/>
    <x v="0"/>
    <n v="0"/>
    <n v="895.39"/>
  </r>
  <r>
    <s v="AR20174"/>
    <x v="4"/>
    <x v="157"/>
    <d v="2025-05-20T00:00:00"/>
    <n v="1425.44"/>
    <s v="CAD"/>
    <s v="Open"/>
    <m/>
    <s v="Net 45"/>
    <b v="1"/>
    <n v="298"/>
    <n v="253"/>
    <x v="0"/>
    <n v="1425.44"/>
    <x v="1"/>
    <n v="0"/>
    <n v="1425.44"/>
  </r>
  <r>
    <s v="AR20175"/>
    <x v="2"/>
    <x v="158"/>
    <d v="2025-03-26T00:00:00"/>
    <n v="7615.32"/>
    <s v="GBP"/>
    <s v="Open"/>
    <m/>
    <s v="Net 45"/>
    <b v="1"/>
    <n v="353"/>
    <n v="308"/>
    <x v="0"/>
    <n v="7615.32"/>
    <x v="1"/>
    <n v="0"/>
    <n v="7615.32"/>
  </r>
  <r>
    <s v="AR20176"/>
    <x v="1"/>
    <x v="159"/>
    <d v="2023-08-02T00:00:00"/>
    <n v="5139.07"/>
    <s v="GBP"/>
    <s v="Partial"/>
    <m/>
    <s v="Net 45"/>
    <b v="1"/>
    <n v="955"/>
    <n v="910"/>
    <x v="0"/>
    <n v="5139.07"/>
    <x v="0"/>
    <n v="0"/>
    <n v="5139.07"/>
  </r>
  <r>
    <s v="AR20177"/>
    <x v="0"/>
    <x v="160"/>
    <d v="2023-11-26T00:00:00"/>
    <n v="5167.68"/>
    <s v="GBP"/>
    <s v="Partial"/>
    <m/>
    <s v="Net 45"/>
    <b v="1"/>
    <n v="839"/>
    <n v="794"/>
    <x v="0"/>
    <n v="5167.68"/>
    <x v="0"/>
    <n v="0"/>
    <n v="5167.68"/>
  </r>
  <r>
    <s v="AR20178"/>
    <x v="4"/>
    <x v="161"/>
    <d v="2024-09-20T00:00:00"/>
    <n v="3033.26"/>
    <s v="CAD"/>
    <s v="Open"/>
    <m/>
    <s v="Net 45"/>
    <b v="1"/>
    <n v="540"/>
    <n v="495"/>
    <x v="0"/>
    <n v="3033.26"/>
    <x v="0"/>
    <n v="0"/>
    <n v="3033.26"/>
  </r>
  <r>
    <s v="AR20179"/>
    <x v="4"/>
    <x v="162"/>
    <d v="2025-01-26T00:00:00"/>
    <n v="2790.33"/>
    <s v="AUD"/>
    <s v="Received"/>
    <d v="2025-01-26T00:00:00"/>
    <s v="Net 45"/>
    <b v="0"/>
    <n v="45"/>
    <n v="0"/>
    <x v="1"/>
    <n v="0"/>
    <x v="2"/>
    <n v="2790.33"/>
    <n v="0"/>
  </r>
  <r>
    <s v="AR20180"/>
    <x v="0"/>
    <x v="163"/>
    <d v="2023-08-29T00:00:00"/>
    <n v="2501.6799999999998"/>
    <s v="CAD"/>
    <s v="Received"/>
    <d v="2023-08-29T00:00:00"/>
    <s v="Net 45"/>
    <b v="0"/>
    <n v="45"/>
    <n v="0"/>
    <x v="1"/>
    <n v="0"/>
    <x v="2"/>
    <n v="2501.6799999999998"/>
    <n v="0"/>
  </r>
  <r>
    <s v="AR20181"/>
    <x v="4"/>
    <x v="164"/>
    <d v="2023-12-24T00:00:00"/>
    <n v="4360.84"/>
    <s v="AUD"/>
    <s v="Open"/>
    <m/>
    <s v="Net 45"/>
    <b v="1"/>
    <n v="811"/>
    <n v="766"/>
    <x v="0"/>
    <n v="4360.84"/>
    <x v="0"/>
    <n v="0"/>
    <n v="4360.84"/>
  </r>
  <r>
    <s v="AR20182"/>
    <x v="3"/>
    <x v="165"/>
    <d v="2024-05-06T00:00:00"/>
    <n v="3594.45"/>
    <s v="AUD"/>
    <s v="Partial"/>
    <m/>
    <s v="Net 45"/>
    <b v="1"/>
    <n v="677"/>
    <n v="632"/>
    <x v="0"/>
    <n v="3594.45"/>
    <x v="0"/>
    <n v="0"/>
    <n v="3594.45"/>
  </r>
  <r>
    <s v="AR20183"/>
    <x v="3"/>
    <x v="166"/>
    <d v="2025-03-12T00:00:00"/>
    <n v="532.94000000000005"/>
    <s v="EUR"/>
    <s v="Open"/>
    <m/>
    <s v="Net 45"/>
    <b v="1"/>
    <n v="367"/>
    <n v="322"/>
    <x v="0"/>
    <n v="532.94000000000005"/>
    <x v="1"/>
    <n v="0"/>
    <n v="532.94000000000005"/>
  </r>
  <r>
    <s v="AR20184"/>
    <x v="2"/>
    <x v="167"/>
    <d v="2023-07-20T00:00:00"/>
    <n v="3313.6"/>
    <s v="USD"/>
    <s v="Partial"/>
    <m/>
    <s v="Net 45"/>
    <b v="1"/>
    <n v="968"/>
    <n v="923"/>
    <x v="0"/>
    <n v="3313.6"/>
    <x v="0"/>
    <n v="0"/>
    <n v="3313.6"/>
  </r>
  <r>
    <s v="AR20185"/>
    <x v="2"/>
    <x v="168"/>
    <d v="2023-10-17T00:00:00"/>
    <n v="1217.21"/>
    <s v="AUD"/>
    <s v="Partial"/>
    <m/>
    <s v="Net 45"/>
    <b v="1"/>
    <n v="879"/>
    <n v="834"/>
    <x v="0"/>
    <n v="1217.21"/>
    <x v="0"/>
    <n v="0"/>
    <n v="1217.21"/>
  </r>
  <r>
    <s v="AR20186"/>
    <x v="0"/>
    <x v="169"/>
    <d v="2023-03-22T00:00:00"/>
    <n v="2638.46"/>
    <s v="GBP"/>
    <s v="Partial"/>
    <m/>
    <s v="Net 45"/>
    <b v="1"/>
    <n v="1088"/>
    <n v="1043"/>
    <x v="0"/>
    <n v="2638.46"/>
    <x v="0"/>
    <n v="0"/>
    <n v="2638.46"/>
  </r>
  <r>
    <s v="AR20187"/>
    <x v="2"/>
    <x v="50"/>
    <d v="2023-05-06T00:00:00"/>
    <n v="1769.81"/>
    <s v="EUR"/>
    <s v="Partial"/>
    <m/>
    <s v="Net 45"/>
    <b v="1"/>
    <n v="1043"/>
    <n v="998"/>
    <x v="0"/>
    <n v="1769.81"/>
    <x v="0"/>
    <n v="0"/>
    <n v="1769.81"/>
  </r>
  <r>
    <s v="AR20188"/>
    <x v="1"/>
    <x v="170"/>
    <d v="2025-04-26T00:00:00"/>
    <n v="358"/>
    <s v="CAD"/>
    <s v="Open"/>
    <m/>
    <s v="Net 45"/>
    <b v="1"/>
    <n v="322"/>
    <n v="277"/>
    <x v="0"/>
    <n v="358"/>
    <x v="1"/>
    <n v="0"/>
    <n v="358"/>
  </r>
  <r>
    <s v="AR20189"/>
    <x v="4"/>
    <x v="171"/>
    <d v="2024-07-25T00:00:00"/>
    <n v="6116.96"/>
    <s v="CAD"/>
    <s v="Open"/>
    <m/>
    <s v="Net 45"/>
    <b v="1"/>
    <n v="597"/>
    <n v="552"/>
    <x v="0"/>
    <n v="6116.96"/>
    <x v="0"/>
    <n v="0"/>
    <n v="6116.96"/>
  </r>
  <r>
    <s v="AR20190"/>
    <x v="4"/>
    <x v="172"/>
    <d v="2023-07-06T00:00:00"/>
    <n v="6724.64"/>
    <s v="CAD"/>
    <s v="Received"/>
    <d v="2023-07-06T00:00:00"/>
    <s v="Net 45"/>
    <b v="0"/>
    <n v="45"/>
    <n v="0"/>
    <x v="1"/>
    <n v="0"/>
    <x v="2"/>
    <n v="6724.64"/>
    <n v="0"/>
  </r>
  <r>
    <s v="AR20191"/>
    <x v="0"/>
    <x v="173"/>
    <d v="2025-03-11T00:00:00"/>
    <n v="1713.9"/>
    <s v="AUD"/>
    <s v="Received"/>
    <d v="2025-03-11T00:00:00"/>
    <s v="Net 45"/>
    <b v="0"/>
    <n v="45"/>
    <n v="0"/>
    <x v="1"/>
    <n v="0"/>
    <x v="2"/>
    <n v="1713.9"/>
    <n v="0"/>
  </r>
  <r>
    <s v="AR20192"/>
    <x v="1"/>
    <x v="26"/>
    <d v="2023-05-05T00:00:00"/>
    <n v="4500.46"/>
    <s v="AUD"/>
    <s v="Open"/>
    <m/>
    <s v="Net 45"/>
    <b v="1"/>
    <n v="1044"/>
    <n v="999"/>
    <x v="0"/>
    <n v="4500.46"/>
    <x v="0"/>
    <n v="0"/>
    <n v="4500.46"/>
  </r>
  <r>
    <s v="AR20193"/>
    <x v="2"/>
    <x v="98"/>
    <d v="2023-11-04T00:00:00"/>
    <n v="5401.26"/>
    <s v="AUD"/>
    <s v="Open"/>
    <m/>
    <s v="Net 45"/>
    <b v="1"/>
    <n v="861"/>
    <n v="816"/>
    <x v="0"/>
    <n v="5401.26"/>
    <x v="0"/>
    <n v="0"/>
    <n v="5401.26"/>
  </r>
  <r>
    <s v="AR20194"/>
    <x v="2"/>
    <x v="174"/>
    <d v="2025-03-24T00:00:00"/>
    <n v="7173.1"/>
    <s v="EUR"/>
    <s v="Received"/>
    <d v="2025-03-24T00:00:00"/>
    <s v="Net 45"/>
    <b v="0"/>
    <n v="45"/>
    <n v="0"/>
    <x v="1"/>
    <n v="0"/>
    <x v="2"/>
    <n v="7173.1"/>
    <n v="0"/>
  </r>
  <r>
    <s v="AR20195"/>
    <x v="4"/>
    <x v="163"/>
    <d v="2023-08-29T00:00:00"/>
    <n v="255.6"/>
    <s v="GBP"/>
    <s v="Received"/>
    <d v="2023-08-29T00:00:00"/>
    <s v="Net 45"/>
    <b v="0"/>
    <n v="45"/>
    <n v="0"/>
    <x v="1"/>
    <n v="0"/>
    <x v="2"/>
    <n v="255.6"/>
    <n v="0"/>
  </r>
  <r>
    <s v="AR20196"/>
    <x v="0"/>
    <x v="116"/>
    <d v="2025-05-26T00:00:00"/>
    <n v="1321.36"/>
    <s v="GBP"/>
    <s v="Open"/>
    <m/>
    <s v="Net 45"/>
    <b v="1"/>
    <n v="292"/>
    <n v="247"/>
    <x v="0"/>
    <n v="1321.36"/>
    <x v="1"/>
    <n v="0"/>
    <n v="1321.36"/>
  </r>
  <r>
    <s v="AR20197"/>
    <x v="2"/>
    <x v="148"/>
    <d v="2025-03-23T00:00:00"/>
    <n v="4239.62"/>
    <s v="USD"/>
    <s v="Received"/>
    <d v="2025-03-23T00:00:00"/>
    <s v="Net 45"/>
    <b v="0"/>
    <n v="45"/>
    <n v="0"/>
    <x v="1"/>
    <n v="0"/>
    <x v="2"/>
    <n v="4239.62"/>
    <n v="0"/>
  </r>
  <r>
    <s v="AR20198"/>
    <x v="0"/>
    <x v="175"/>
    <d v="2024-07-19T00:00:00"/>
    <n v="1910.09"/>
    <s v="USD"/>
    <s v="Open"/>
    <m/>
    <s v="Net 45"/>
    <b v="1"/>
    <n v="603"/>
    <n v="558"/>
    <x v="0"/>
    <n v="1910.09"/>
    <x v="0"/>
    <n v="0"/>
    <n v="1910.09"/>
  </r>
  <r>
    <s v="AR20199"/>
    <x v="3"/>
    <x v="176"/>
    <d v="2023-04-04T00:00:00"/>
    <n v="1732.73"/>
    <s v="AUD"/>
    <s v="Open"/>
    <m/>
    <s v="Net 45"/>
    <b v="1"/>
    <n v="1075"/>
    <n v="1030"/>
    <x v="0"/>
    <n v="1732.73"/>
    <x v="0"/>
    <n v="0"/>
    <n v="1732.73"/>
  </r>
  <r>
    <s v="AR20200"/>
    <x v="2"/>
    <x v="177"/>
    <d v="2023-12-20T00:00:00"/>
    <n v="7442.79"/>
    <s v="GBP"/>
    <s v="Partial"/>
    <m/>
    <s v="Net 45"/>
    <b v="1"/>
    <n v="815"/>
    <n v="770"/>
    <x v="0"/>
    <n v="7442.79"/>
    <x v="0"/>
    <n v="0"/>
    <n v="7442.79"/>
  </r>
  <r>
    <s v="AR20201"/>
    <x v="1"/>
    <x v="178"/>
    <d v="2025-07-21T00:00:00"/>
    <n v="7828.34"/>
    <s v="CAD"/>
    <s v="Partial"/>
    <m/>
    <s v="Net 45"/>
    <b v="1"/>
    <n v="236"/>
    <n v="191"/>
    <x v="0"/>
    <n v="7828.34"/>
    <x v="1"/>
    <n v="0"/>
    <n v="7828.34"/>
  </r>
  <r>
    <s v="AR20202"/>
    <x v="4"/>
    <x v="179"/>
    <d v="2023-02-15T00:00:00"/>
    <n v="3603.21"/>
    <s v="GBP"/>
    <s v="Open"/>
    <m/>
    <s v="Net 45"/>
    <b v="1"/>
    <n v="1123"/>
    <n v="1078"/>
    <x v="0"/>
    <n v="3603.21"/>
    <x v="0"/>
    <n v="0"/>
    <n v="3603.21"/>
  </r>
  <r>
    <s v="AR20203"/>
    <x v="2"/>
    <x v="180"/>
    <d v="2023-02-22T00:00:00"/>
    <n v="3256.73"/>
    <s v="CAD"/>
    <s v="Received"/>
    <d v="2023-02-22T00:00:00"/>
    <s v="Net 45"/>
    <b v="0"/>
    <n v="45"/>
    <n v="0"/>
    <x v="1"/>
    <n v="0"/>
    <x v="2"/>
    <n v="3256.73"/>
    <n v="0"/>
  </r>
  <r>
    <s v="AR20204"/>
    <x v="0"/>
    <x v="83"/>
    <d v="2023-09-18T00:00:00"/>
    <n v="694.22"/>
    <s v="AUD"/>
    <s v="Received"/>
    <d v="2023-09-18T00:00:00"/>
    <s v="Net 45"/>
    <b v="0"/>
    <n v="45"/>
    <n v="0"/>
    <x v="1"/>
    <n v="0"/>
    <x v="2"/>
    <n v="694.22"/>
    <n v="0"/>
  </r>
  <r>
    <s v="AR20205"/>
    <x v="3"/>
    <x v="181"/>
    <d v="2023-03-08T00:00:00"/>
    <n v="4742.33"/>
    <s v="USD"/>
    <s v="Open"/>
    <m/>
    <s v="Net 45"/>
    <b v="1"/>
    <n v="1102"/>
    <n v="1057"/>
    <x v="0"/>
    <n v="4742.33"/>
    <x v="0"/>
    <n v="0"/>
    <n v="4742.33"/>
  </r>
  <r>
    <s v="AR20206"/>
    <x v="1"/>
    <x v="174"/>
    <d v="2025-03-24T00:00:00"/>
    <n v="5745.4"/>
    <s v="CAD"/>
    <s v="Partial"/>
    <m/>
    <s v="Net 45"/>
    <b v="1"/>
    <n v="355"/>
    <n v="310"/>
    <x v="0"/>
    <n v="5745.4"/>
    <x v="1"/>
    <n v="0"/>
    <n v="5745.4"/>
  </r>
  <r>
    <s v="AR20207"/>
    <x v="3"/>
    <x v="182"/>
    <d v="2023-09-01T00:00:00"/>
    <n v="6440.55"/>
    <s v="USD"/>
    <s v="Partial"/>
    <m/>
    <s v="Net 45"/>
    <b v="1"/>
    <n v="925"/>
    <n v="880"/>
    <x v="0"/>
    <n v="6440.55"/>
    <x v="0"/>
    <n v="0"/>
    <n v="6440.55"/>
  </r>
  <r>
    <s v="AR20208"/>
    <x v="1"/>
    <x v="183"/>
    <d v="2024-05-19T00:00:00"/>
    <n v="5467.97"/>
    <s v="CAD"/>
    <s v="Received"/>
    <d v="2024-05-19T00:00:00"/>
    <s v="Net 45"/>
    <b v="0"/>
    <n v="45"/>
    <n v="0"/>
    <x v="1"/>
    <n v="0"/>
    <x v="2"/>
    <n v="5467.97"/>
    <n v="0"/>
  </r>
  <r>
    <s v="AR20209"/>
    <x v="4"/>
    <x v="184"/>
    <d v="2025-06-22T00:00:00"/>
    <n v="3067.69"/>
    <s v="GBP"/>
    <s v="Partial"/>
    <m/>
    <s v="Net 45"/>
    <b v="1"/>
    <n v="265"/>
    <n v="220"/>
    <x v="0"/>
    <n v="3067.69"/>
    <x v="1"/>
    <n v="0"/>
    <n v="3067.69"/>
  </r>
  <r>
    <s v="AR20210"/>
    <x v="2"/>
    <x v="142"/>
    <d v="2023-07-29T00:00:00"/>
    <n v="3030.85"/>
    <s v="AUD"/>
    <s v="Partial"/>
    <m/>
    <s v="Net 45"/>
    <b v="1"/>
    <n v="959"/>
    <n v="914"/>
    <x v="0"/>
    <n v="3030.85"/>
    <x v="0"/>
    <n v="0"/>
    <n v="3030.85"/>
  </r>
  <r>
    <s v="AR20211"/>
    <x v="3"/>
    <x v="53"/>
    <d v="2025-05-24T00:00:00"/>
    <n v="4387.58"/>
    <s v="EUR"/>
    <s v="Received"/>
    <d v="2025-05-24T00:00:00"/>
    <s v="Net 45"/>
    <b v="0"/>
    <n v="45"/>
    <n v="0"/>
    <x v="1"/>
    <n v="0"/>
    <x v="2"/>
    <n v="4387.58"/>
    <n v="0"/>
  </r>
  <r>
    <s v="AR20212"/>
    <x v="0"/>
    <x v="185"/>
    <d v="2023-08-26T00:00:00"/>
    <n v="970.15"/>
    <s v="EUR"/>
    <s v="Received"/>
    <d v="2023-08-26T00:00:00"/>
    <s v="Net 45"/>
    <b v="0"/>
    <n v="45"/>
    <n v="0"/>
    <x v="1"/>
    <n v="0"/>
    <x v="2"/>
    <n v="970.15"/>
    <n v="0"/>
  </r>
  <r>
    <s v="AR20213"/>
    <x v="3"/>
    <x v="186"/>
    <d v="2023-06-06T00:00:00"/>
    <n v="6545.56"/>
    <s v="GBP"/>
    <s v="Partial"/>
    <m/>
    <s v="Net 45"/>
    <b v="1"/>
    <n v="1012"/>
    <n v="967"/>
    <x v="0"/>
    <n v="6545.56"/>
    <x v="0"/>
    <n v="0"/>
    <n v="6545.56"/>
  </r>
  <r>
    <s v="AR20214"/>
    <x v="2"/>
    <x v="187"/>
    <d v="2023-12-31T00:00:00"/>
    <n v="4888.93"/>
    <s v="CAD"/>
    <s v="Open"/>
    <m/>
    <s v="Net 45"/>
    <b v="1"/>
    <n v="804"/>
    <n v="759"/>
    <x v="0"/>
    <n v="4888.93"/>
    <x v="0"/>
    <n v="0"/>
    <n v="4888.93"/>
  </r>
  <r>
    <s v="AR20215"/>
    <x v="1"/>
    <x v="188"/>
    <d v="2023-10-18T00:00:00"/>
    <n v="354.48"/>
    <s v="EUR"/>
    <s v="Received"/>
    <d v="2023-10-18T00:00:00"/>
    <s v="Net 45"/>
    <b v="0"/>
    <n v="45"/>
    <n v="0"/>
    <x v="1"/>
    <n v="0"/>
    <x v="2"/>
    <n v="354.48"/>
    <n v="0"/>
  </r>
  <r>
    <s v="AR20216"/>
    <x v="3"/>
    <x v="189"/>
    <d v="2024-03-02T00:00:00"/>
    <n v="657.87"/>
    <s v="CAD"/>
    <s v="Received"/>
    <d v="2024-03-02T00:00:00"/>
    <s v="Net 45"/>
    <b v="0"/>
    <n v="45"/>
    <n v="0"/>
    <x v="1"/>
    <n v="0"/>
    <x v="2"/>
    <n v="657.87"/>
    <n v="0"/>
  </r>
  <r>
    <s v="AR20217"/>
    <x v="3"/>
    <x v="190"/>
    <d v="2023-05-11T00:00:00"/>
    <n v="3415.75"/>
    <s v="EUR"/>
    <s v="Open"/>
    <m/>
    <s v="Net 45"/>
    <b v="1"/>
    <n v="1038"/>
    <n v="993"/>
    <x v="0"/>
    <n v="3415.75"/>
    <x v="0"/>
    <n v="0"/>
    <n v="3415.75"/>
  </r>
  <r>
    <s v="AR20218"/>
    <x v="1"/>
    <x v="191"/>
    <d v="2025-06-05T00:00:00"/>
    <n v="1884.26"/>
    <s v="USD"/>
    <s v="Received"/>
    <d v="2025-06-05T00:00:00"/>
    <s v="Net 45"/>
    <b v="0"/>
    <n v="45"/>
    <n v="0"/>
    <x v="1"/>
    <n v="0"/>
    <x v="2"/>
    <n v="1884.26"/>
    <n v="0"/>
  </r>
  <r>
    <s v="AR20219"/>
    <x v="0"/>
    <x v="192"/>
    <d v="2023-04-12T00:00:00"/>
    <n v="741.72"/>
    <s v="AUD"/>
    <s v="Received"/>
    <d v="2023-04-12T00:00:00"/>
    <s v="Net 45"/>
    <b v="0"/>
    <n v="45"/>
    <n v="0"/>
    <x v="1"/>
    <n v="0"/>
    <x v="2"/>
    <n v="741.72"/>
    <n v="0"/>
  </r>
  <r>
    <s v="AR20220"/>
    <x v="0"/>
    <x v="189"/>
    <d v="2024-03-02T00:00:00"/>
    <n v="7943.83"/>
    <s v="USD"/>
    <s v="Open"/>
    <m/>
    <s v="Net 45"/>
    <b v="1"/>
    <n v="742"/>
    <n v="697"/>
    <x v="0"/>
    <n v="7943.83"/>
    <x v="0"/>
    <n v="0"/>
    <n v="7943.83"/>
  </r>
  <r>
    <s v="AR20221"/>
    <x v="3"/>
    <x v="193"/>
    <d v="2024-11-08T00:00:00"/>
    <n v="247.4"/>
    <s v="GBP"/>
    <s v="Partial"/>
    <m/>
    <s v="Net 45"/>
    <b v="1"/>
    <n v="491"/>
    <n v="446"/>
    <x v="0"/>
    <n v="247.4"/>
    <x v="0"/>
    <n v="0"/>
    <n v="247.4"/>
  </r>
  <r>
    <s v="AR20222"/>
    <x v="3"/>
    <x v="194"/>
    <d v="2023-11-11T00:00:00"/>
    <n v="1967.78"/>
    <s v="EUR"/>
    <s v="Open"/>
    <m/>
    <s v="Net 45"/>
    <b v="1"/>
    <n v="854"/>
    <n v="809"/>
    <x v="0"/>
    <n v="1967.78"/>
    <x v="0"/>
    <n v="0"/>
    <n v="1967.78"/>
  </r>
  <r>
    <s v="AR20223"/>
    <x v="0"/>
    <x v="195"/>
    <d v="2023-10-24T00:00:00"/>
    <n v="7603.86"/>
    <s v="USD"/>
    <s v="Partial"/>
    <m/>
    <s v="Net 45"/>
    <b v="1"/>
    <n v="872"/>
    <n v="827"/>
    <x v="0"/>
    <n v="7603.86"/>
    <x v="0"/>
    <n v="0"/>
    <n v="7603.86"/>
  </r>
  <r>
    <s v="AR20224"/>
    <x v="4"/>
    <x v="138"/>
    <d v="2023-09-25T00:00:00"/>
    <n v="7290.34"/>
    <s v="AUD"/>
    <s v="Open"/>
    <m/>
    <s v="Net 45"/>
    <b v="1"/>
    <n v="901"/>
    <n v="856"/>
    <x v="0"/>
    <n v="7290.34"/>
    <x v="0"/>
    <n v="0"/>
    <n v="7290.34"/>
  </r>
  <r>
    <s v="AR20225"/>
    <x v="3"/>
    <x v="196"/>
    <d v="2024-08-18T00:00:00"/>
    <n v="2291.87"/>
    <s v="GBP"/>
    <s v="Open"/>
    <m/>
    <s v="Net 45"/>
    <b v="1"/>
    <n v="573"/>
    <n v="528"/>
    <x v="0"/>
    <n v="2291.87"/>
    <x v="0"/>
    <n v="0"/>
    <n v="2291.87"/>
  </r>
  <r>
    <s v="AR20226"/>
    <x v="4"/>
    <x v="190"/>
    <d v="2023-05-11T00:00:00"/>
    <n v="2360.7199999999998"/>
    <s v="EUR"/>
    <s v="Partial"/>
    <m/>
    <s v="Net 45"/>
    <b v="1"/>
    <n v="1038"/>
    <n v="993"/>
    <x v="0"/>
    <n v="2360.7199999999998"/>
    <x v="0"/>
    <n v="0"/>
    <n v="2360.7199999999998"/>
  </r>
  <r>
    <s v="AR20227"/>
    <x v="3"/>
    <x v="197"/>
    <d v="2024-07-10T00:00:00"/>
    <n v="673.24"/>
    <s v="EUR"/>
    <s v="Open"/>
    <m/>
    <s v="Net 45"/>
    <b v="1"/>
    <n v="612"/>
    <n v="567"/>
    <x v="0"/>
    <n v="673.24"/>
    <x v="0"/>
    <n v="0"/>
    <n v="673.24"/>
  </r>
  <r>
    <s v="AR20228"/>
    <x v="4"/>
    <x v="40"/>
    <d v="2023-08-17T00:00:00"/>
    <n v="4022.7"/>
    <s v="EUR"/>
    <s v="Received"/>
    <d v="2023-08-17T00:00:00"/>
    <s v="Net 45"/>
    <b v="0"/>
    <n v="45"/>
    <n v="0"/>
    <x v="1"/>
    <n v="0"/>
    <x v="2"/>
    <n v="4022.7"/>
    <n v="0"/>
  </r>
  <r>
    <s v="AR20229"/>
    <x v="4"/>
    <x v="198"/>
    <d v="2023-10-06T00:00:00"/>
    <n v="1973.41"/>
    <s v="CAD"/>
    <s v="Received"/>
    <d v="2023-10-06T00:00:00"/>
    <s v="Net 45"/>
    <b v="0"/>
    <n v="45"/>
    <n v="0"/>
    <x v="1"/>
    <n v="0"/>
    <x v="2"/>
    <n v="1973.41"/>
    <n v="0"/>
  </r>
  <r>
    <s v="AR20230"/>
    <x v="1"/>
    <x v="199"/>
    <d v="2023-04-11T00:00:00"/>
    <n v="3221.68"/>
    <s v="CAD"/>
    <s v="Open"/>
    <m/>
    <s v="Net 45"/>
    <b v="1"/>
    <n v="1068"/>
    <n v="1023"/>
    <x v="0"/>
    <n v="3221.68"/>
    <x v="0"/>
    <n v="0"/>
    <n v="3221.68"/>
  </r>
  <r>
    <s v="AR20231"/>
    <x v="2"/>
    <x v="187"/>
    <d v="2023-12-31T00:00:00"/>
    <n v="725.83"/>
    <s v="EUR"/>
    <s v="Received"/>
    <d v="2023-12-31T00:00:00"/>
    <s v="Net 45"/>
    <b v="0"/>
    <n v="45"/>
    <n v="0"/>
    <x v="1"/>
    <n v="0"/>
    <x v="2"/>
    <n v="725.83"/>
    <n v="0"/>
  </r>
  <r>
    <s v="AR20232"/>
    <x v="1"/>
    <x v="20"/>
    <d v="2024-09-26T00:00:00"/>
    <n v="3034.61"/>
    <s v="CAD"/>
    <s v="Received"/>
    <d v="2024-09-26T00:00:00"/>
    <s v="Net 45"/>
    <b v="0"/>
    <n v="45"/>
    <n v="0"/>
    <x v="1"/>
    <n v="0"/>
    <x v="2"/>
    <n v="3034.61"/>
    <n v="0"/>
  </r>
  <r>
    <s v="AR20233"/>
    <x v="0"/>
    <x v="200"/>
    <d v="2024-01-28T00:00:00"/>
    <n v="7652.36"/>
    <s v="CAD"/>
    <s v="Received"/>
    <d v="2024-01-28T00:00:00"/>
    <s v="Net 45"/>
    <b v="0"/>
    <n v="45"/>
    <n v="0"/>
    <x v="1"/>
    <n v="0"/>
    <x v="2"/>
    <n v="7652.36"/>
    <n v="0"/>
  </r>
  <r>
    <s v="AR20234"/>
    <x v="3"/>
    <x v="201"/>
    <d v="2025-07-04T00:00:00"/>
    <n v="3317.09"/>
    <s v="USD"/>
    <s v="Open"/>
    <m/>
    <s v="Net 45"/>
    <b v="1"/>
    <n v="253"/>
    <n v="208"/>
    <x v="0"/>
    <n v="3317.09"/>
    <x v="1"/>
    <n v="0"/>
    <n v="3317.09"/>
  </r>
  <r>
    <s v="AR20235"/>
    <x v="1"/>
    <x v="202"/>
    <d v="2023-05-12T00:00:00"/>
    <n v="3325.12"/>
    <s v="EUR"/>
    <s v="Open"/>
    <m/>
    <s v="Net 45"/>
    <b v="1"/>
    <n v="1037"/>
    <n v="992"/>
    <x v="0"/>
    <n v="3325.12"/>
    <x v="0"/>
    <n v="0"/>
    <n v="3325.12"/>
  </r>
  <r>
    <s v="AR20236"/>
    <x v="3"/>
    <x v="203"/>
    <d v="2025-04-05T00:00:00"/>
    <n v="4585.18"/>
    <s v="USD"/>
    <s v="Partial"/>
    <m/>
    <s v="Net 45"/>
    <b v="1"/>
    <n v="343"/>
    <n v="298"/>
    <x v="0"/>
    <n v="4585.18"/>
    <x v="1"/>
    <n v="0"/>
    <n v="4585.18"/>
  </r>
  <r>
    <s v="AR20237"/>
    <x v="0"/>
    <x v="42"/>
    <d v="2023-12-12T00:00:00"/>
    <n v="6323.5"/>
    <s v="EUR"/>
    <s v="Received"/>
    <d v="2023-12-12T00:00:00"/>
    <s v="Net 45"/>
    <b v="0"/>
    <n v="45"/>
    <n v="0"/>
    <x v="1"/>
    <n v="0"/>
    <x v="2"/>
    <n v="6323.5"/>
    <n v="0"/>
  </r>
  <r>
    <s v="AR20238"/>
    <x v="2"/>
    <x v="112"/>
    <d v="2023-07-27T00:00:00"/>
    <n v="1165.07"/>
    <s v="GBP"/>
    <s v="Partial"/>
    <m/>
    <s v="Net 45"/>
    <b v="1"/>
    <n v="961"/>
    <n v="916"/>
    <x v="0"/>
    <n v="1165.07"/>
    <x v="0"/>
    <n v="0"/>
    <n v="1165.07"/>
  </r>
  <r>
    <s v="AR20239"/>
    <x v="2"/>
    <x v="204"/>
    <d v="2023-11-30T00:00:00"/>
    <n v="3713.67"/>
    <s v="CAD"/>
    <s v="Received"/>
    <d v="2023-11-30T00:00:00"/>
    <s v="Net 45"/>
    <b v="0"/>
    <n v="45"/>
    <n v="0"/>
    <x v="1"/>
    <n v="0"/>
    <x v="2"/>
    <n v="3713.67"/>
    <n v="0"/>
  </r>
  <r>
    <s v="AR20240"/>
    <x v="2"/>
    <x v="186"/>
    <d v="2023-06-06T00:00:00"/>
    <n v="1188.28"/>
    <s v="EUR"/>
    <s v="Partial"/>
    <m/>
    <s v="Net 45"/>
    <b v="1"/>
    <n v="1012"/>
    <n v="967"/>
    <x v="0"/>
    <n v="1188.28"/>
    <x v="0"/>
    <n v="0"/>
    <n v="1188.28"/>
  </r>
  <r>
    <s v="AR20241"/>
    <x v="3"/>
    <x v="205"/>
    <d v="2024-02-17T00:00:00"/>
    <n v="4578.38"/>
    <s v="AUD"/>
    <s v="Received"/>
    <d v="2024-02-17T00:00:00"/>
    <s v="Net 45"/>
    <b v="0"/>
    <n v="45"/>
    <n v="0"/>
    <x v="1"/>
    <n v="0"/>
    <x v="2"/>
    <n v="4578.38"/>
    <n v="0"/>
  </r>
  <r>
    <s v="AR20242"/>
    <x v="0"/>
    <x v="206"/>
    <d v="2024-08-23T00:00:00"/>
    <n v="7392.38"/>
    <s v="USD"/>
    <s v="Received"/>
    <d v="2024-08-23T00:00:00"/>
    <s v="Net 45"/>
    <b v="0"/>
    <n v="45"/>
    <n v="0"/>
    <x v="1"/>
    <n v="0"/>
    <x v="2"/>
    <n v="7392.38"/>
    <n v="0"/>
  </r>
  <r>
    <s v="AR20243"/>
    <x v="3"/>
    <x v="207"/>
    <d v="2023-07-21T00:00:00"/>
    <n v="7767.69"/>
    <s v="USD"/>
    <s v="Received"/>
    <d v="2023-07-21T00:00:00"/>
    <s v="Net 45"/>
    <b v="0"/>
    <n v="45"/>
    <n v="0"/>
    <x v="1"/>
    <n v="0"/>
    <x v="2"/>
    <n v="7767.69"/>
    <n v="0"/>
  </r>
  <r>
    <s v="AR20244"/>
    <x v="4"/>
    <x v="208"/>
    <d v="2025-03-30T00:00:00"/>
    <n v="534.33000000000004"/>
    <s v="GBP"/>
    <s v="Partial"/>
    <m/>
    <s v="Net 45"/>
    <b v="1"/>
    <n v="349"/>
    <n v="304"/>
    <x v="0"/>
    <n v="534.33000000000004"/>
    <x v="1"/>
    <n v="0"/>
    <n v="534.33000000000004"/>
  </r>
  <r>
    <s v="AR20245"/>
    <x v="0"/>
    <x v="196"/>
    <d v="2024-08-18T00:00:00"/>
    <n v="575.11"/>
    <s v="USD"/>
    <s v="Open"/>
    <m/>
    <s v="Net 45"/>
    <b v="1"/>
    <n v="573"/>
    <n v="528"/>
    <x v="0"/>
    <n v="575.11"/>
    <x v="0"/>
    <n v="0"/>
    <n v="575.11"/>
  </r>
  <r>
    <s v="AR20246"/>
    <x v="4"/>
    <x v="209"/>
    <d v="2023-06-15T00:00:00"/>
    <n v="7672.85"/>
    <s v="GBP"/>
    <s v="Partial"/>
    <m/>
    <s v="Net 45"/>
    <b v="1"/>
    <n v="1003"/>
    <n v="958"/>
    <x v="0"/>
    <n v="7672.85"/>
    <x v="0"/>
    <n v="0"/>
    <n v="7672.85"/>
  </r>
  <r>
    <s v="AR20247"/>
    <x v="2"/>
    <x v="210"/>
    <d v="2024-04-09T00:00:00"/>
    <n v="4254.22"/>
    <s v="AUD"/>
    <s v="Partial"/>
    <m/>
    <s v="Net 45"/>
    <b v="1"/>
    <n v="704"/>
    <n v="659"/>
    <x v="0"/>
    <n v="4254.22"/>
    <x v="0"/>
    <n v="0"/>
    <n v="4254.22"/>
  </r>
  <r>
    <s v="AR20248"/>
    <x v="4"/>
    <x v="211"/>
    <d v="2024-12-24T00:00:00"/>
    <n v="2760"/>
    <s v="USD"/>
    <s v="Received"/>
    <d v="2024-12-24T00:00:00"/>
    <s v="Net 45"/>
    <b v="0"/>
    <n v="45"/>
    <n v="0"/>
    <x v="1"/>
    <n v="0"/>
    <x v="2"/>
    <n v="2760"/>
    <n v="0"/>
  </r>
  <r>
    <s v="AR20249"/>
    <x v="3"/>
    <x v="212"/>
    <d v="2024-04-04T00:00:00"/>
    <n v="2757.32"/>
    <s v="AUD"/>
    <s v="Open"/>
    <m/>
    <s v="Net 45"/>
    <b v="1"/>
    <n v="709"/>
    <n v="664"/>
    <x v="0"/>
    <n v="2757.32"/>
    <x v="0"/>
    <n v="0"/>
    <n v="2757.32"/>
  </r>
  <r>
    <s v="AR20250"/>
    <x v="1"/>
    <x v="213"/>
    <d v="2024-06-21T00:00:00"/>
    <n v="5389.32"/>
    <s v="USD"/>
    <s v="Open"/>
    <m/>
    <s v="Net 45"/>
    <b v="1"/>
    <n v="631"/>
    <n v="586"/>
    <x v="0"/>
    <n v="5389.32"/>
    <x v="0"/>
    <n v="0"/>
    <n v="5389.32"/>
  </r>
  <r>
    <s v="AR20251"/>
    <x v="3"/>
    <x v="214"/>
    <d v="2024-03-04T00:00:00"/>
    <n v="7153.34"/>
    <s v="EUR"/>
    <s v="Open"/>
    <m/>
    <s v="Net 45"/>
    <b v="1"/>
    <n v="740"/>
    <n v="695"/>
    <x v="0"/>
    <n v="7153.34"/>
    <x v="0"/>
    <n v="0"/>
    <n v="7153.34"/>
  </r>
  <r>
    <s v="AR20252"/>
    <x v="2"/>
    <x v="215"/>
    <d v="2024-04-05T00:00:00"/>
    <n v="2565.52"/>
    <s v="USD"/>
    <s v="Received"/>
    <d v="2024-04-05T00:00:00"/>
    <s v="Net 45"/>
    <b v="0"/>
    <n v="45"/>
    <n v="0"/>
    <x v="1"/>
    <n v="0"/>
    <x v="2"/>
    <n v="2565.52"/>
    <n v="0"/>
  </r>
  <r>
    <s v="AR20253"/>
    <x v="2"/>
    <x v="216"/>
    <d v="2024-03-18T00:00:00"/>
    <n v="4484.3999999999996"/>
    <s v="EUR"/>
    <s v="Open"/>
    <m/>
    <s v="Net 45"/>
    <b v="1"/>
    <n v="726"/>
    <n v="681"/>
    <x v="0"/>
    <n v="4484.3999999999996"/>
    <x v="0"/>
    <n v="0"/>
    <n v="4484.3999999999996"/>
  </r>
  <r>
    <s v="AR20254"/>
    <x v="1"/>
    <x v="217"/>
    <d v="2025-04-19T00:00:00"/>
    <n v="2276.46"/>
    <s v="USD"/>
    <s v="Open"/>
    <m/>
    <s v="Net 45"/>
    <b v="1"/>
    <n v="329"/>
    <n v="284"/>
    <x v="0"/>
    <n v="2276.46"/>
    <x v="1"/>
    <n v="0"/>
    <n v="2276.46"/>
  </r>
  <r>
    <s v="AR20255"/>
    <x v="1"/>
    <x v="71"/>
    <d v="2023-11-07T00:00:00"/>
    <n v="3306.6"/>
    <s v="USD"/>
    <s v="Partial"/>
    <m/>
    <s v="Net 45"/>
    <b v="1"/>
    <n v="858"/>
    <n v="813"/>
    <x v="0"/>
    <n v="3306.6"/>
    <x v="0"/>
    <n v="0"/>
    <n v="3306.6"/>
  </r>
  <r>
    <s v="AR20256"/>
    <x v="3"/>
    <x v="218"/>
    <d v="2024-01-05T00:00:00"/>
    <n v="4927.67"/>
    <s v="CAD"/>
    <s v="Open"/>
    <m/>
    <s v="Net 45"/>
    <b v="1"/>
    <n v="799"/>
    <n v="754"/>
    <x v="0"/>
    <n v="4927.67"/>
    <x v="0"/>
    <n v="0"/>
    <n v="4927.67"/>
  </r>
  <r>
    <s v="AR20257"/>
    <x v="3"/>
    <x v="219"/>
    <d v="2024-07-17T00:00:00"/>
    <n v="3912.57"/>
    <s v="AUD"/>
    <s v="Partial"/>
    <m/>
    <s v="Net 45"/>
    <b v="1"/>
    <n v="605"/>
    <n v="560"/>
    <x v="0"/>
    <n v="3912.57"/>
    <x v="0"/>
    <n v="0"/>
    <n v="3912.57"/>
  </r>
  <r>
    <s v="AR20258"/>
    <x v="3"/>
    <x v="220"/>
    <d v="2025-07-22T00:00:00"/>
    <n v="886.79"/>
    <s v="USD"/>
    <s v="Received"/>
    <d v="2025-07-22T00:00:00"/>
    <s v="Net 45"/>
    <b v="0"/>
    <n v="45"/>
    <n v="0"/>
    <x v="1"/>
    <n v="0"/>
    <x v="2"/>
    <n v="886.79"/>
    <n v="0"/>
  </r>
  <r>
    <s v="AR20259"/>
    <x v="0"/>
    <x v="221"/>
    <d v="2023-07-10T00:00:00"/>
    <n v="4441.37"/>
    <s v="USD"/>
    <s v="Partial"/>
    <m/>
    <s v="Net 45"/>
    <b v="1"/>
    <n v="978"/>
    <n v="933"/>
    <x v="0"/>
    <n v="4441.37"/>
    <x v="0"/>
    <n v="0"/>
    <n v="4441.37"/>
  </r>
  <r>
    <s v="AR20260"/>
    <x v="3"/>
    <x v="222"/>
    <d v="2025-04-08T00:00:00"/>
    <n v="4160.63"/>
    <s v="EUR"/>
    <s v="Received"/>
    <d v="2025-04-08T00:00:00"/>
    <s v="Net 45"/>
    <b v="0"/>
    <n v="45"/>
    <n v="0"/>
    <x v="1"/>
    <n v="0"/>
    <x v="2"/>
    <n v="4160.63"/>
    <n v="0"/>
  </r>
  <r>
    <s v="AR20261"/>
    <x v="4"/>
    <x v="223"/>
    <d v="2024-07-03T00:00:00"/>
    <n v="2195.88"/>
    <s v="AUD"/>
    <s v="Received"/>
    <d v="2024-07-03T00:00:00"/>
    <s v="Net 45"/>
    <b v="0"/>
    <n v="45"/>
    <n v="0"/>
    <x v="1"/>
    <n v="0"/>
    <x v="2"/>
    <n v="2195.88"/>
    <n v="0"/>
  </r>
  <r>
    <s v="AR20262"/>
    <x v="0"/>
    <x v="224"/>
    <d v="2025-07-18T00:00:00"/>
    <n v="7296"/>
    <s v="AUD"/>
    <s v="Open"/>
    <m/>
    <s v="Net 45"/>
    <b v="1"/>
    <n v="239"/>
    <n v="194"/>
    <x v="0"/>
    <n v="7296"/>
    <x v="1"/>
    <n v="0"/>
    <n v="7296"/>
  </r>
  <r>
    <s v="AR20263"/>
    <x v="1"/>
    <x v="225"/>
    <d v="2024-11-24T00:00:00"/>
    <n v="2844.85"/>
    <s v="AUD"/>
    <s v="Open"/>
    <m/>
    <s v="Net 45"/>
    <b v="1"/>
    <n v="475"/>
    <n v="430"/>
    <x v="0"/>
    <n v="2844.85"/>
    <x v="0"/>
    <n v="0"/>
    <n v="2844.85"/>
  </r>
  <r>
    <s v="AR20264"/>
    <x v="0"/>
    <x v="176"/>
    <d v="2023-04-04T00:00:00"/>
    <n v="3336.12"/>
    <s v="AUD"/>
    <s v="Open"/>
    <m/>
    <s v="Net 45"/>
    <b v="1"/>
    <n v="1075"/>
    <n v="1030"/>
    <x v="0"/>
    <n v="3336.12"/>
    <x v="0"/>
    <n v="0"/>
    <n v="3336.12"/>
  </r>
  <r>
    <s v="AR20265"/>
    <x v="0"/>
    <x v="226"/>
    <d v="2023-10-27T00:00:00"/>
    <n v="5108.9399999999996"/>
    <s v="AUD"/>
    <s v="Open"/>
    <m/>
    <s v="Net 45"/>
    <b v="1"/>
    <n v="869"/>
    <n v="824"/>
    <x v="0"/>
    <n v="5108.9399999999996"/>
    <x v="0"/>
    <n v="0"/>
    <n v="5108.9399999999996"/>
  </r>
  <r>
    <s v="AR20266"/>
    <x v="0"/>
    <x v="227"/>
    <d v="2023-03-25T00:00:00"/>
    <n v="3254.83"/>
    <s v="USD"/>
    <s v="Partial"/>
    <m/>
    <s v="Net 45"/>
    <b v="1"/>
    <n v="1085"/>
    <n v="1040"/>
    <x v="0"/>
    <n v="3254.83"/>
    <x v="0"/>
    <n v="0"/>
    <n v="3254.83"/>
  </r>
  <r>
    <s v="AR20267"/>
    <x v="2"/>
    <x v="228"/>
    <d v="2024-08-10T00:00:00"/>
    <n v="7762.92"/>
    <s v="GBP"/>
    <s v="Received"/>
    <d v="2024-08-10T00:00:00"/>
    <s v="Net 45"/>
    <b v="0"/>
    <n v="45"/>
    <n v="0"/>
    <x v="1"/>
    <n v="0"/>
    <x v="2"/>
    <n v="7762.92"/>
    <n v="0"/>
  </r>
  <r>
    <s v="AR20268"/>
    <x v="0"/>
    <x v="229"/>
    <d v="2025-03-09T00:00:00"/>
    <n v="1049.32"/>
    <s v="EUR"/>
    <s v="Open"/>
    <m/>
    <s v="Net 45"/>
    <b v="1"/>
    <n v="370"/>
    <n v="325"/>
    <x v="0"/>
    <n v="1049.32"/>
    <x v="1"/>
    <n v="0"/>
    <n v="1049.32"/>
  </r>
  <r>
    <s v="AR20269"/>
    <x v="0"/>
    <x v="230"/>
    <d v="2025-01-20T00:00:00"/>
    <n v="2254.94"/>
    <s v="GBP"/>
    <s v="Received"/>
    <d v="2025-01-20T00:00:00"/>
    <s v="Net 45"/>
    <b v="0"/>
    <n v="45"/>
    <n v="0"/>
    <x v="1"/>
    <n v="0"/>
    <x v="2"/>
    <n v="2254.94"/>
    <n v="0"/>
  </r>
  <r>
    <s v="AR20270"/>
    <x v="4"/>
    <x v="231"/>
    <d v="2024-02-06T00:00:00"/>
    <n v="7185.54"/>
    <s v="GBP"/>
    <s v="Partial"/>
    <m/>
    <s v="Net 45"/>
    <b v="1"/>
    <n v="767"/>
    <n v="722"/>
    <x v="0"/>
    <n v="7185.54"/>
    <x v="0"/>
    <n v="0"/>
    <n v="7185.54"/>
  </r>
  <r>
    <s v="AR20271"/>
    <x v="4"/>
    <x v="232"/>
    <d v="2024-04-01T00:00:00"/>
    <n v="1472.13"/>
    <s v="CAD"/>
    <s v="Open"/>
    <m/>
    <s v="Net 45"/>
    <b v="1"/>
    <n v="712"/>
    <n v="667"/>
    <x v="0"/>
    <n v="1472.13"/>
    <x v="0"/>
    <n v="0"/>
    <n v="1472.13"/>
  </r>
  <r>
    <s v="AR20272"/>
    <x v="3"/>
    <x v="233"/>
    <d v="2023-06-12T00:00:00"/>
    <n v="5363.52"/>
    <s v="GBP"/>
    <s v="Partial"/>
    <m/>
    <s v="Net 45"/>
    <b v="1"/>
    <n v="1006"/>
    <n v="961"/>
    <x v="0"/>
    <n v="5363.52"/>
    <x v="0"/>
    <n v="0"/>
    <n v="5363.52"/>
  </r>
  <r>
    <s v="AR20273"/>
    <x v="1"/>
    <x v="234"/>
    <d v="2024-01-19T00:00:00"/>
    <n v="3298.99"/>
    <s v="AUD"/>
    <s v="Partial"/>
    <m/>
    <s v="Net 45"/>
    <b v="1"/>
    <n v="785"/>
    <n v="740"/>
    <x v="0"/>
    <n v="3298.99"/>
    <x v="0"/>
    <n v="0"/>
    <n v="3298.99"/>
  </r>
  <r>
    <s v="AR20274"/>
    <x v="0"/>
    <x v="104"/>
    <d v="2025-08-07T00:00:00"/>
    <n v="7176.07"/>
    <s v="EUR"/>
    <s v="Open"/>
    <m/>
    <s v="Net 45"/>
    <b v="1"/>
    <n v="219"/>
    <n v="174"/>
    <x v="0"/>
    <n v="7176.07"/>
    <x v="3"/>
    <n v="0"/>
    <n v="7176.07"/>
  </r>
  <r>
    <s v="AR20275"/>
    <x v="3"/>
    <x v="235"/>
    <d v="2025-04-25T00:00:00"/>
    <n v="5173.26"/>
    <s v="USD"/>
    <s v="Received"/>
    <d v="2025-04-25T00:00:00"/>
    <s v="Net 45"/>
    <b v="0"/>
    <n v="45"/>
    <n v="0"/>
    <x v="1"/>
    <n v="0"/>
    <x v="2"/>
    <n v="5173.26"/>
    <n v="0"/>
  </r>
  <r>
    <s v="AR20276"/>
    <x v="0"/>
    <x v="236"/>
    <d v="2023-07-31T00:00:00"/>
    <n v="6767.83"/>
    <s v="CAD"/>
    <s v="Received"/>
    <d v="2023-07-31T00:00:00"/>
    <s v="Net 45"/>
    <b v="0"/>
    <n v="45"/>
    <n v="0"/>
    <x v="1"/>
    <n v="0"/>
    <x v="2"/>
    <n v="6767.83"/>
    <n v="0"/>
  </r>
  <r>
    <s v="AR20277"/>
    <x v="1"/>
    <x v="237"/>
    <d v="2025-01-25T00:00:00"/>
    <n v="618.77"/>
    <s v="EUR"/>
    <s v="Open"/>
    <m/>
    <s v="Net 45"/>
    <b v="1"/>
    <n v="413"/>
    <n v="368"/>
    <x v="0"/>
    <n v="618.77"/>
    <x v="0"/>
    <n v="0"/>
    <n v="618.77"/>
  </r>
  <r>
    <s v="AR20278"/>
    <x v="4"/>
    <x v="238"/>
    <d v="2024-12-07T00:00:00"/>
    <n v="3945.49"/>
    <s v="AUD"/>
    <s v="Partial"/>
    <m/>
    <s v="Net 45"/>
    <b v="1"/>
    <n v="462"/>
    <n v="417"/>
    <x v="0"/>
    <n v="3945.49"/>
    <x v="0"/>
    <n v="0"/>
    <n v="3945.49"/>
  </r>
  <r>
    <s v="AR20279"/>
    <x v="2"/>
    <x v="156"/>
    <d v="2023-02-16T00:00:00"/>
    <n v="4532.6499999999996"/>
    <s v="AUD"/>
    <s v="Received"/>
    <d v="2023-02-16T00:00:00"/>
    <s v="Net 45"/>
    <b v="0"/>
    <n v="45"/>
    <n v="0"/>
    <x v="1"/>
    <n v="0"/>
    <x v="2"/>
    <n v="4532.6499999999996"/>
    <n v="0"/>
  </r>
  <r>
    <s v="AR20280"/>
    <x v="2"/>
    <x v="239"/>
    <d v="2024-06-09T00:00:00"/>
    <n v="5769.67"/>
    <s v="USD"/>
    <s v="Received"/>
    <d v="2024-06-09T00:00:00"/>
    <s v="Net 45"/>
    <b v="0"/>
    <n v="45"/>
    <n v="0"/>
    <x v="1"/>
    <n v="0"/>
    <x v="2"/>
    <n v="5769.67"/>
    <n v="0"/>
  </r>
  <r>
    <s v="AR20281"/>
    <x v="1"/>
    <x v="240"/>
    <d v="2023-03-07T00:00:00"/>
    <n v="1912.05"/>
    <s v="CAD"/>
    <s v="Open"/>
    <m/>
    <s v="Net 45"/>
    <b v="1"/>
    <n v="1103"/>
    <n v="1058"/>
    <x v="0"/>
    <n v="1912.05"/>
    <x v="0"/>
    <n v="0"/>
    <n v="1912.05"/>
  </r>
  <r>
    <s v="AR20282"/>
    <x v="0"/>
    <x v="241"/>
    <d v="2025-01-03T00:00:00"/>
    <n v="5329.48"/>
    <s v="EUR"/>
    <s v="Partial"/>
    <m/>
    <s v="Net 45"/>
    <b v="1"/>
    <n v="435"/>
    <n v="390"/>
    <x v="0"/>
    <n v="5329.48"/>
    <x v="0"/>
    <n v="0"/>
    <n v="5329.48"/>
  </r>
  <r>
    <s v="AR20283"/>
    <x v="0"/>
    <x v="242"/>
    <d v="2024-08-04T00:00:00"/>
    <n v="5287.6"/>
    <s v="GBP"/>
    <s v="Open"/>
    <m/>
    <s v="Net 45"/>
    <b v="1"/>
    <n v="587"/>
    <n v="542"/>
    <x v="0"/>
    <n v="5287.6"/>
    <x v="0"/>
    <n v="0"/>
    <n v="5287.6"/>
  </r>
  <r>
    <s v="AR20284"/>
    <x v="2"/>
    <x v="243"/>
    <d v="2024-10-16T00:00:00"/>
    <n v="4912.0600000000004"/>
    <s v="CAD"/>
    <s v="Open"/>
    <m/>
    <s v="Net 45"/>
    <b v="1"/>
    <n v="514"/>
    <n v="469"/>
    <x v="0"/>
    <n v="4912.0600000000004"/>
    <x v="0"/>
    <n v="0"/>
    <n v="4912.0600000000004"/>
  </r>
  <r>
    <s v="AR20285"/>
    <x v="1"/>
    <x v="244"/>
    <d v="2025-03-25T00:00:00"/>
    <n v="6804.92"/>
    <s v="EUR"/>
    <s v="Partial"/>
    <m/>
    <s v="Net 45"/>
    <b v="1"/>
    <n v="354"/>
    <n v="309"/>
    <x v="0"/>
    <n v="6804.92"/>
    <x v="1"/>
    <n v="0"/>
    <n v="6804.92"/>
  </r>
  <r>
    <s v="AR20286"/>
    <x v="3"/>
    <x v="245"/>
    <d v="2024-05-18T00:00:00"/>
    <n v="2819.2"/>
    <s v="CAD"/>
    <s v="Partial"/>
    <m/>
    <s v="Net 45"/>
    <b v="1"/>
    <n v="665"/>
    <n v="620"/>
    <x v="0"/>
    <n v="2819.2"/>
    <x v="0"/>
    <n v="0"/>
    <n v="2819.2"/>
  </r>
  <r>
    <s v="AR20287"/>
    <x v="0"/>
    <x v="246"/>
    <d v="2024-02-21T00:00:00"/>
    <n v="4818.12"/>
    <s v="EUR"/>
    <s v="Open"/>
    <m/>
    <s v="Net 45"/>
    <b v="1"/>
    <n v="752"/>
    <n v="707"/>
    <x v="0"/>
    <n v="4818.12"/>
    <x v="0"/>
    <n v="0"/>
    <n v="4818.12"/>
  </r>
  <r>
    <s v="AR20288"/>
    <x v="2"/>
    <x v="247"/>
    <d v="2025-01-12T00:00:00"/>
    <n v="1716.94"/>
    <s v="GBP"/>
    <s v="Received"/>
    <d v="2025-01-12T00:00:00"/>
    <s v="Net 45"/>
    <b v="0"/>
    <n v="45"/>
    <n v="0"/>
    <x v="1"/>
    <n v="0"/>
    <x v="2"/>
    <n v="1716.94"/>
    <n v="0"/>
  </r>
  <r>
    <s v="AR20289"/>
    <x v="0"/>
    <x v="248"/>
    <d v="2024-12-04T00:00:00"/>
    <n v="6215.27"/>
    <s v="CAD"/>
    <s v="Partial"/>
    <m/>
    <s v="Net 45"/>
    <b v="1"/>
    <n v="465"/>
    <n v="420"/>
    <x v="0"/>
    <n v="6215.27"/>
    <x v="0"/>
    <n v="0"/>
    <n v="6215.27"/>
  </r>
  <r>
    <s v="AR20290"/>
    <x v="1"/>
    <x v="249"/>
    <d v="2025-03-16T00:00:00"/>
    <n v="772.4"/>
    <s v="GBP"/>
    <s v="Partial"/>
    <m/>
    <s v="Net 45"/>
    <b v="1"/>
    <n v="363"/>
    <n v="318"/>
    <x v="0"/>
    <n v="772.4"/>
    <x v="1"/>
    <n v="0"/>
    <n v="772.4"/>
  </r>
  <r>
    <s v="AR20291"/>
    <x v="1"/>
    <x v="250"/>
    <d v="2024-03-22T00:00:00"/>
    <n v="5922.14"/>
    <s v="AUD"/>
    <s v="Received"/>
    <d v="2024-03-22T00:00:00"/>
    <s v="Net 45"/>
    <b v="0"/>
    <n v="45"/>
    <n v="0"/>
    <x v="1"/>
    <n v="0"/>
    <x v="2"/>
    <n v="5922.14"/>
    <n v="0"/>
  </r>
  <r>
    <s v="AR20292"/>
    <x v="1"/>
    <x v="251"/>
    <d v="2025-07-05T00:00:00"/>
    <n v="844.47"/>
    <s v="USD"/>
    <s v="Open"/>
    <m/>
    <s v="Net 45"/>
    <b v="1"/>
    <n v="252"/>
    <n v="207"/>
    <x v="0"/>
    <n v="844.47"/>
    <x v="1"/>
    <n v="0"/>
    <n v="844.47"/>
  </r>
  <r>
    <s v="AR20293"/>
    <x v="2"/>
    <x v="252"/>
    <d v="2024-01-12T00:00:00"/>
    <n v="1392.54"/>
    <s v="AUD"/>
    <s v="Open"/>
    <m/>
    <s v="Net 45"/>
    <b v="1"/>
    <n v="792"/>
    <n v="747"/>
    <x v="0"/>
    <n v="1392.54"/>
    <x v="0"/>
    <n v="0"/>
    <n v="1392.54"/>
  </r>
  <r>
    <s v="AR20294"/>
    <x v="4"/>
    <x v="253"/>
    <d v="2025-05-04T00:00:00"/>
    <n v="237.27"/>
    <s v="EUR"/>
    <s v="Received"/>
    <d v="2025-05-04T00:00:00"/>
    <s v="Net 45"/>
    <b v="0"/>
    <n v="45"/>
    <n v="0"/>
    <x v="1"/>
    <n v="0"/>
    <x v="2"/>
    <n v="237.27"/>
    <n v="0"/>
  </r>
  <r>
    <s v="AR20295"/>
    <x v="2"/>
    <x v="254"/>
    <d v="2024-03-29T00:00:00"/>
    <n v="2944.07"/>
    <s v="CAD"/>
    <s v="Partial"/>
    <m/>
    <s v="Net 45"/>
    <b v="1"/>
    <n v="715"/>
    <n v="670"/>
    <x v="0"/>
    <n v="2944.07"/>
    <x v="0"/>
    <n v="0"/>
    <n v="2944.07"/>
  </r>
  <r>
    <s v="AR20296"/>
    <x v="0"/>
    <x v="168"/>
    <d v="2023-10-17T00:00:00"/>
    <n v="6013.51"/>
    <s v="CAD"/>
    <s v="Open"/>
    <m/>
    <s v="Net 45"/>
    <b v="1"/>
    <n v="879"/>
    <n v="834"/>
    <x v="0"/>
    <n v="6013.51"/>
    <x v="0"/>
    <n v="0"/>
    <n v="6013.51"/>
  </r>
  <r>
    <s v="AR20297"/>
    <x v="4"/>
    <x v="169"/>
    <d v="2023-03-22T00:00:00"/>
    <n v="1766.81"/>
    <s v="USD"/>
    <s v="Partial"/>
    <m/>
    <s v="Net 45"/>
    <b v="1"/>
    <n v="1088"/>
    <n v="1043"/>
    <x v="0"/>
    <n v="1766.81"/>
    <x v="0"/>
    <n v="0"/>
    <n v="1766.81"/>
  </r>
  <r>
    <s v="AR20298"/>
    <x v="1"/>
    <x v="31"/>
    <d v="2024-02-01T00:00:00"/>
    <n v="5288.72"/>
    <s v="USD"/>
    <s v="Partial"/>
    <m/>
    <s v="Net 45"/>
    <b v="1"/>
    <n v="772"/>
    <n v="727"/>
    <x v="0"/>
    <n v="5288.72"/>
    <x v="0"/>
    <n v="0"/>
    <n v="5288.72"/>
  </r>
  <r>
    <s v="AR20299"/>
    <x v="0"/>
    <x v="255"/>
    <d v="2024-10-22T00:00:00"/>
    <n v="487.55"/>
    <s v="CAD"/>
    <s v="Open"/>
    <m/>
    <s v="Net 45"/>
    <b v="1"/>
    <n v="508"/>
    <n v="463"/>
    <x v="0"/>
    <n v="487.55"/>
    <x v="0"/>
    <n v="0"/>
    <n v="487.55"/>
  </r>
  <r>
    <s v="AR20300"/>
    <x v="0"/>
    <x v="101"/>
    <d v="2023-12-29T00:00:00"/>
    <n v="1910.38"/>
    <s v="AUD"/>
    <s v="Partial"/>
    <m/>
    <s v="Net 45"/>
    <b v="1"/>
    <n v="806"/>
    <n v="761"/>
    <x v="0"/>
    <n v="1910.38"/>
    <x v="0"/>
    <n v="0"/>
    <n v="1910.38"/>
  </r>
  <r>
    <s v="AR20301"/>
    <x v="0"/>
    <x v="256"/>
    <d v="2024-01-20T00:00:00"/>
    <n v="4958.76"/>
    <s v="EUR"/>
    <s v="Received"/>
    <d v="2024-01-20T00:00:00"/>
    <s v="Net 45"/>
    <b v="0"/>
    <n v="45"/>
    <n v="0"/>
    <x v="1"/>
    <n v="0"/>
    <x v="2"/>
    <n v="4958.76"/>
    <n v="0"/>
  </r>
  <r>
    <s v="AR20302"/>
    <x v="4"/>
    <x v="20"/>
    <d v="2024-09-26T00:00:00"/>
    <n v="6586.64"/>
    <s v="USD"/>
    <s v="Open"/>
    <m/>
    <s v="Net 45"/>
    <b v="1"/>
    <n v="534"/>
    <n v="489"/>
    <x v="0"/>
    <n v="6586.64"/>
    <x v="0"/>
    <n v="0"/>
    <n v="6586.64"/>
  </r>
  <r>
    <s v="AR20303"/>
    <x v="1"/>
    <x v="45"/>
    <d v="2024-12-23T00:00:00"/>
    <n v="7977.51"/>
    <s v="USD"/>
    <s v="Received"/>
    <d v="2024-12-23T00:00:00"/>
    <s v="Net 45"/>
    <b v="0"/>
    <n v="45"/>
    <n v="0"/>
    <x v="1"/>
    <n v="0"/>
    <x v="2"/>
    <n v="7977.51"/>
    <n v="0"/>
  </r>
  <r>
    <s v="AR20304"/>
    <x v="3"/>
    <x v="257"/>
    <d v="2023-04-02T00:00:00"/>
    <n v="1308.93"/>
    <s v="CAD"/>
    <s v="Partial"/>
    <m/>
    <s v="Net 45"/>
    <b v="1"/>
    <n v="1077"/>
    <n v="1032"/>
    <x v="0"/>
    <n v="1308.93"/>
    <x v="0"/>
    <n v="0"/>
    <n v="1308.93"/>
  </r>
  <r>
    <s v="AR20305"/>
    <x v="2"/>
    <x v="258"/>
    <d v="2025-06-18T00:00:00"/>
    <n v="3082.75"/>
    <s v="GBP"/>
    <s v="Open"/>
    <m/>
    <s v="Net 45"/>
    <b v="1"/>
    <n v="269"/>
    <n v="224"/>
    <x v="0"/>
    <n v="3082.75"/>
    <x v="1"/>
    <n v="0"/>
    <n v="3082.75"/>
  </r>
  <r>
    <s v="AR20306"/>
    <x v="4"/>
    <x v="259"/>
    <d v="2024-07-20T00:00:00"/>
    <n v="4200.74"/>
    <s v="USD"/>
    <s v="Received"/>
    <d v="2024-07-20T00:00:00"/>
    <s v="Net 45"/>
    <b v="0"/>
    <n v="45"/>
    <n v="0"/>
    <x v="1"/>
    <n v="0"/>
    <x v="2"/>
    <n v="4200.74"/>
    <n v="0"/>
  </r>
  <r>
    <s v="AR20307"/>
    <x v="0"/>
    <x v="134"/>
    <d v="2025-07-28T00:00:00"/>
    <n v="612.58000000000004"/>
    <s v="CAD"/>
    <s v="Partial"/>
    <m/>
    <s v="Net 45"/>
    <b v="1"/>
    <n v="229"/>
    <n v="184"/>
    <x v="0"/>
    <n v="612.58000000000004"/>
    <x v="1"/>
    <n v="0"/>
    <n v="612.58000000000004"/>
  </r>
  <r>
    <s v="AR20308"/>
    <x v="3"/>
    <x v="260"/>
    <d v="2025-02-03T00:00:00"/>
    <n v="6586.08"/>
    <s v="AUD"/>
    <s v="Open"/>
    <m/>
    <s v="Net 45"/>
    <b v="1"/>
    <n v="404"/>
    <n v="359"/>
    <x v="0"/>
    <n v="6586.08"/>
    <x v="1"/>
    <n v="0"/>
    <n v="6586.08"/>
  </r>
  <r>
    <s v="AR20309"/>
    <x v="1"/>
    <x v="41"/>
    <d v="2023-11-27T00:00:00"/>
    <n v="7135.58"/>
    <s v="GBP"/>
    <s v="Open"/>
    <m/>
    <s v="Net 45"/>
    <b v="1"/>
    <n v="838"/>
    <n v="793"/>
    <x v="0"/>
    <n v="7135.58"/>
    <x v="0"/>
    <n v="0"/>
    <n v="7135.58"/>
  </r>
  <r>
    <s v="AR20310"/>
    <x v="3"/>
    <x v="261"/>
    <d v="2024-12-30T00:00:00"/>
    <n v="3310.59"/>
    <s v="AUD"/>
    <s v="Open"/>
    <m/>
    <s v="Net 45"/>
    <b v="1"/>
    <n v="439"/>
    <n v="394"/>
    <x v="0"/>
    <n v="3310.59"/>
    <x v="0"/>
    <n v="0"/>
    <n v="3310.59"/>
  </r>
  <r>
    <s v="AR20311"/>
    <x v="4"/>
    <x v="262"/>
    <d v="2025-07-20T00:00:00"/>
    <n v="6859.56"/>
    <s v="USD"/>
    <s v="Partial"/>
    <m/>
    <s v="Net 45"/>
    <b v="1"/>
    <n v="237"/>
    <n v="192"/>
    <x v="0"/>
    <n v="6859.56"/>
    <x v="1"/>
    <n v="0"/>
    <n v="6859.56"/>
  </r>
  <r>
    <s v="AR20312"/>
    <x v="2"/>
    <x v="31"/>
    <d v="2024-02-01T00:00:00"/>
    <n v="1915.49"/>
    <s v="CAD"/>
    <s v="Received"/>
    <d v="2024-02-01T00:00:00"/>
    <s v="Net 45"/>
    <b v="0"/>
    <n v="45"/>
    <n v="0"/>
    <x v="1"/>
    <n v="0"/>
    <x v="2"/>
    <n v="1915.49"/>
    <n v="0"/>
  </r>
  <r>
    <s v="AR20313"/>
    <x v="4"/>
    <x v="70"/>
    <d v="2023-03-16T00:00:00"/>
    <n v="3592.64"/>
    <s v="GBP"/>
    <s v="Received"/>
    <d v="2023-03-16T00:00:00"/>
    <s v="Net 45"/>
    <b v="0"/>
    <n v="45"/>
    <n v="0"/>
    <x v="1"/>
    <n v="0"/>
    <x v="2"/>
    <n v="3592.64"/>
    <n v="0"/>
  </r>
  <r>
    <s v="AR20314"/>
    <x v="3"/>
    <x v="217"/>
    <d v="2025-04-19T00:00:00"/>
    <n v="3464.1"/>
    <s v="CAD"/>
    <s v="Partial"/>
    <m/>
    <s v="Net 45"/>
    <b v="1"/>
    <n v="329"/>
    <n v="284"/>
    <x v="0"/>
    <n v="3464.1"/>
    <x v="1"/>
    <n v="0"/>
    <n v="3464.1"/>
  </r>
  <r>
    <s v="AR20315"/>
    <x v="4"/>
    <x v="263"/>
    <d v="2025-05-23T00:00:00"/>
    <n v="3713.6"/>
    <s v="AUD"/>
    <s v="Received"/>
    <d v="2025-05-23T00:00:00"/>
    <s v="Net 45"/>
    <b v="0"/>
    <n v="45"/>
    <n v="0"/>
    <x v="1"/>
    <n v="0"/>
    <x v="2"/>
    <n v="3713.6"/>
    <n v="0"/>
  </r>
  <r>
    <s v="AR20316"/>
    <x v="1"/>
    <x v="38"/>
    <d v="2023-12-15T00:00:00"/>
    <n v="375.36"/>
    <s v="USD"/>
    <s v="Partial"/>
    <m/>
    <s v="Net 45"/>
    <b v="1"/>
    <n v="820"/>
    <n v="775"/>
    <x v="0"/>
    <n v="375.36"/>
    <x v="0"/>
    <n v="0"/>
    <n v="375.36"/>
  </r>
  <r>
    <s v="AR20317"/>
    <x v="0"/>
    <x v="264"/>
    <d v="2025-01-05T00:00:00"/>
    <n v="4606.43"/>
    <s v="GBP"/>
    <s v="Open"/>
    <m/>
    <s v="Net 45"/>
    <b v="1"/>
    <n v="433"/>
    <n v="388"/>
    <x v="0"/>
    <n v="4606.43"/>
    <x v="0"/>
    <n v="0"/>
    <n v="4606.43"/>
  </r>
  <r>
    <s v="AR20318"/>
    <x v="0"/>
    <x v="265"/>
    <d v="2023-04-07T00:00:00"/>
    <n v="3956.63"/>
    <s v="EUR"/>
    <s v="Open"/>
    <m/>
    <s v="Net 45"/>
    <b v="1"/>
    <n v="1072"/>
    <n v="1027"/>
    <x v="0"/>
    <n v="3956.63"/>
    <x v="0"/>
    <n v="0"/>
    <n v="3956.63"/>
  </r>
  <r>
    <s v="AR20319"/>
    <x v="1"/>
    <x v="266"/>
    <d v="2023-06-28T00:00:00"/>
    <n v="6463.15"/>
    <s v="AUD"/>
    <s v="Received"/>
    <d v="2023-06-28T00:00:00"/>
    <s v="Net 45"/>
    <b v="0"/>
    <n v="45"/>
    <n v="0"/>
    <x v="1"/>
    <n v="0"/>
    <x v="2"/>
    <n v="6463.15"/>
    <n v="0"/>
  </r>
  <r>
    <s v="AR20320"/>
    <x v="2"/>
    <x v="267"/>
    <d v="2023-12-17T00:00:00"/>
    <n v="3131.18"/>
    <s v="USD"/>
    <s v="Open"/>
    <m/>
    <s v="Net 45"/>
    <b v="1"/>
    <n v="818"/>
    <n v="773"/>
    <x v="0"/>
    <n v="3131.18"/>
    <x v="0"/>
    <n v="0"/>
    <n v="3131.18"/>
  </r>
  <r>
    <s v="AR20321"/>
    <x v="2"/>
    <x v="268"/>
    <d v="2023-04-08T00:00:00"/>
    <n v="7443.46"/>
    <s v="GBP"/>
    <s v="Open"/>
    <m/>
    <s v="Net 45"/>
    <b v="1"/>
    <n v="1071"/>
    <n v="1026"/>
    <x v="0"/>
    <n v="7443.46"/>
    <x v="0"/>
    <n v="0"/>
    <n v="7443.46"/>
  </r>
  <r>
    <s v="AR20322"/>
    <x v="3"/>
    <x v="269"/>
    <d v="2024-03-16T00:00:00"/>
    <n v="3523.63"/>
    <s v="AUD"/>
    <s v="Partial"/>
    <m/>
    <s v="Net 45"/>
    <b v="1"/>
    <n v="728"/>
    <n v="683"/>
    <x v="0"/>
    <n v="3523.63"/>
    <x v="0"/>
    <n v="0"/>
    <n v="3523.63"/>
  </r>
  <r>
    <s v="AR20323"/>
    <x v="1"/>
    <x v="270"/>
    <d v="2024-03-09T00:00:00"/>
    <n v="255.41"/>
    <s v="EUR"/>
    <s v="Partial"/>
    <m/>
    <s v="Net 45"/>
    <b v="1"/>
    <n v="735"/>
    <n v="690"/>
    <x v="0"/>
    <n v="255.41"/>
    <x v="0"/>
    <n v="0"/>
    <n v="255.41"/>
  </r>
  <r>
    <s v="AR20324"/>
    <x v="1"/>
    <x v="271"/>
    <d v="2024-09-10T00:00:00"/>
    <n v="7207.55"/>
    <s v="CAD"/>
    <s v="Received"/>
    <d v="2024-09-10T00:00:00"/>
    <s v="Net 45"/>
    <b v="0"/>
    <n v="45"/>
    <n v="0"/>
    <x v="1"/>
    <n v="0"/>
    <x v="2"/>
    <n v="7207.55"/>
    <n v="0"/>
  </r>
  <r>
    <s v="AR20325"/>
    <x v="0"/>
    <x v="272"/>
    <d v="2025-04-30T00:00:00"/>
    <n v="7774.67"/>
    <s v="AUD"/>
    <s v="Received"/>
    <d v="2025-04-30T00:00:00"/>
    <s v="Net 45"/>
    <b v="0"/>
    <n v="45"/>
    <n v="0"/>
    <x v="1"/>
    <n v="0"/>
    <x v="2"/>
    <n v="7774.67"/>
    <n v="0"/>
  </r>
  <r>
    <s v="AR20326"/>
    <x v="2"/>
    <x v="273"/>
    <d v="2024-02-14T00:00:00"/>
    <n v="1759.2"/>
    <s v="AUD"/>
    <s v="Open"/>
    <m/>
    <s v="Net 45"/>
    <b v="1"/>
    <n v="759"/>
    <n v="714"/>
    <x v="0"/>
    <n v="1759.2"/>
    <x v="0"/>
    <n v="0"/>
    <n v="1759.2"/>
  </r>
  <r>
    <s v="AR20327"/>
    <x v="4"/>
    <x v="274"/>
    <d v="2024-01-31T00:00:00"/>
    <n v="7446.1"/>
    <s v="AUD"/>
    <s v="Open"/>
    <m/>
    <s v="Net 45"/>
    <b v="1"/>
    <n v="773"/>
    <n v="728"/>
    <x v="0"/>
    <n v="7446.1"/>
    <x v="0"/>
    <n v="0"/>
    <n v="7446.1"/>
  </r>
  <r>
    <s v="AR20328"/>
    <x v="0"/>
    <x v="275"/>
    <d v="2025-02-02T00:00:00"/>
    <n v="5244.86"/>
    <s v="EUR"/>
    <s v="Open"/>
    <m/>
    <s v="Net 45"/>
    <b v="1"/>
    <n v="405"/>
    <n v="360"/>
    <x v="0"/>
    <n v="5244.86"/>
    <x v="1"/>
    <n v="0"/>
    <n v="5244.86"/>
  </r>
  <r>
    <s v="AR20329"/>
    <x v="0"/>
    <x v="210"/>
    <d v="2024-04-09T00:00:00"/>
    <n v="7281.91"/>
    <s v="EUR"/>
    <s v="Partial"/>
    <m/>
    <s v="Net 45"/>
    <b v="1"/>
    <n v="704"/>
    <n v="659"/>
    <x v="0"/>
    <n v="7281.91"/>
    <x v="0"/>
    <n v="0"/>
    <n v="7281.91"/>
  </r>
  <r>
    <s v="AR20330"/>
    <x v="2"/>
    <x v="276"/>
    <d v="2023-06-20T00:00:00"/>
    <n v="1209.49"/>
    <s v="CAD"/>
    <s v="Open"/>
    <m/>
    <s v="Net 45"/>
    <b v="1"/>
    <n v="998"/>
    <n v="953"/>
    <x v="0"/>
    <n v="1209.49"/>
    <x v="0"/>
    <n v="0"/>
    <n v="1209.49"/>
  </r>
  <r>
    <s v="AR20331"/>
    <x v="0"/>
    <x v="277"/>
    <d v="2023-12-07T00:00:00"/>
    <n v="6584.61"/>
    <s v="EUR"/>
    <s v="Partial"/>
    <m/>
    <s v="Net 45"/>
    <b v="1"/>
    <n v="828"/>
    <n v="783"/>
    <x v="0"/>
    <n v="6584.61"/>
    <x v="0"/>
    <n v="0"/>
    <n v="6584.61"/>
  </r>
  <r>
    <s v="AR20332"/>
    <x v="1"/>
    <x v="278"/>
    <d v="2024-03-15T00:00:00"/>
    <n v="4282.2299999999996"/>
    <s v="USD"/>
    <s v="Open"/>
    <m/>
    <s v="Net 45"/>
    <b v="1"/>
    <n v="729"/>
    <n v="684"/>
    <x v="0"/>
    <n v="4282.2299999999996"/>
    <x v="0"/>
    <n v="0"/>
    <n v="4282.2299999999996"/>
  </r>
  <r>
    <s v="AR20333"/>
    <x v="0"/>
    <x v="279"/>
    <d v="2025-07-30T00:00:00"/>
    <n v="443.26"/>
    <s v="EUR"/>
    <s v="Partial"/>
    <m/>
    <s v="Net 45"/>
    <b v="1"/>
    <n v="227"/>
    <n v="182"/>
    <x v="0"/>
    <n v="443.26"/>
    <x v="1"/>
    <n v="0"/>
    <n v="443.26"/>
  </r>
  <r>
    <s v="AR20334"/>
    <x v="0"/>
    <x v="280"/>
    <d v="2023-07-24T00:00:00"/>
    <n v="6477.19"/>
    <s v="AUD"/>
    <s v="Partial"/>
    <m/>
    <s v="Net 45"/>
    <b v="1"/>
    <n v="964"/>
    <n v="919"/>
    <x v="0"/>
    <n v="6477.19"/>
    <x v="0"/>
    <n v="0"/>
    <n v="6477.19"/>
  </r>
  <r>
    <s v="AR20335"/>
    <x v="0"/>
    <x v="281"/>
    <d v="2024-01-21T00:00:00"/>
    <n v="6248.64"/>
    <s v="CAD"/>
    <s v="Received"/>
    <d v="2024-01-21T00:00:00"/>
    <s v="Net 45"/>
    <b v="0"/>
    <n v="45"/>
    <n v="0"/>
    <x v="1"/>
    <n v="0"/>
    <x v="2"/>
    <n v="6248.64"/>
    <n v="0"/>
  </r>
  <r>
    <s v="AR20336"/>
    <x v="4"/>
    <x v="282"/>
    <d v="2023-11-05T00:00:00"/>
    <n v="5750.64"/>
    <s v="AUD"/>
    <s v="Received"/>
    <d v="2023-11-05T00:00:00"/>
    <s v="Net 45"/>
    <b v="0"/>
    <n v="45"/>
    <n v="0"/>
    <x v="1"/>
    <n v="0"/>
    <x v="2"/>
    <n v="5750.64"/>
    <n v="0"/>
  </r>
  <r>
    <s v="AR20337"/>
    <x v="4"/>
    <x v="165"/>
    <d v="2024-05-06T00:00:00"/>
    <n v="2160.27"/>
    <s v="USD"/>
    <s v="Partial"/>
    <m/>
    <s v="Net 45"/>
    <b v="1"/>
    <n v="677"/>
    <n v="632"/>
    <x v="0"/>
    <n v="2160.27"/>
    <x v="0"/>
    <n v="0"/>
    <n v="2160.27"/>
  </r>
  <r>
    <s v="AR20338"/>
    <x v="3"/>
    <x v="283"/>
    <d v="2023-12-08T00:00:00"/>
    <n v="7752.81"/>
    <s v="USD"/>
    <s v="Received"/>
    <d v="2023-12-08T00:00:00"/>
    <s v="Net 45"/>
    <b v="0"/>
    <n v="45"/>
    <n v="0"/>
    <x v="1"/>
    <n v="0"/>
    <x v="2"/>
    <n v="7752.81"/>
    <n v="0"/>
  </r>
  <r>
    <s v="AR20339"/>
    <x v="2"/>
    <x v="284"/>
    <d v="2023-10-12T00:00:00"/>
    <n v="2252.3000000000002"/>
    <s v="USD"/>
    <s v="Open"/>
    <m/>
    <s v="Net 45"/>
    <b v="1"/>
    <n v="884"/>
    <n v="839"/>
    <x v="0"/>
    <n v="2252.3000000000002"/>
    <x v="0"/>
    <n v="0"/>
    <n v="2252.3000000000002"/>
  </r>
  <r>
    <s v="AR20340"/>
    <x v="2"/>
    <x v="285"/>
    <d v="2023-11-10T00:00:00"/>
    <n v="235.01"/>
    <s v="GBP"/>
    <s v="Open"/>
    <m/>
    <s v="Net 45"/>
    <b v="1"/>
    <n v="855"/>
    <n v="810"/>
    <x v="0"/>
    <n v="235.01"/>
    <x v="0"/>
    <n v="0"/>
    <n v="235.01"/>
  </r>
  <r>
    <s v="AR20341"/>
    <x v="2"/>
    <x v="286"/>
    <d v="2024-03-26T00:00:00"/>
    <n v="6828.57"/>
    <s v="GBP"/>
    <s v="Received"/>
    <d v="2024-03-26T00:00:00"/>
    <s v="Net 45"/>
    <b v="0"/>
    <n v="45"/>
    <n v="0"/>
    <x v="1"/>
    <n v="0"/>
    <x v="2"/>
    <n v="6828.57"/>
    <n v="0"/>
  </r>
  <r>
    <s v="AR20342"/>
    <x v="2"/>
    <x v="287"/>
    <d v="2025-01-21T00:00:00"/>
    <n v="3769.6"/>
    <s v="USD"/>
    <s v="Received"/>
    <d v="2025-01-21T00:00:00"/>
    <s v="Net 45"/>
    <b v="0"/>
    <n v="45"/>
    <n v="0"/>
    <x v="1"/>
    <n v="0"/>
    <x v="2"/>
    <n v="3769.6"/>
    <n v="0"/>
  </r>
  <r>
    <s v="AR20343"/>
    <x v="3"/>
    <x v="288"/>
    <d v="2024-04-18T00:00:00"/>
    <n v="3315.73"/>
    <s v="GBP"/>
    <s v="Partial"/>
    <m/>
    <s v="Net 45"/>
    <b v="1"/>
    <n v="695"/>
    <n v="650"/>
    <x v="0"/>
    <n v="3315.73"/>
    <x v="0"/>
    <n v="0"/>
    <n v="3315.73"/>
  </r>
  <r>
    <s v="AR20344"/>
    <x v="2"/>
    <x v="211"/>
    <d v="2024-12-24T00:00:00"/>
    <n v="6472.22"/>
    <s v="AUD"/>
    <s v="Partial"/>
    <m/>
    <s v="Net 45"/>
    <b v="1"/>
    <n v="445"/>
    <n v="400"/>
    <x v="0"/>
    <n v="6472.22"/>
    <x v="0"/>
    <n v="0"/>
    <n v="6472.22"/>
  </r>
  <r>
    <s v="AR20345"/>
    <x v="3"/>
    <x v="235"/>
    <d v="2025-04-25T00:00:00"/>
    <n v="3493.6"/>
    <s v="AUD"/>
    <s v="Partial"/>
    <m/>
    <s v="Net 45"/>
    <b v="1"/>
    <n v="323"/>
    <n v="278"/>
    <x v="0"/>
    <n v="3493.6"/>
    <x v="1"/>
    <n v="0"/>
    <n v="3493.6"/>
  </r>
  <r>
    <s v="AR20346"/>
    <x v="4"/>
    <x v="229"/>
    <d v="2025-03-09T00:00:00"/>
    <n v="547.94000000000005"/>
    <s v="AUD"/>
    <s v="Open"/>
    <m/>
    <s v="Net 45"/>
    <b v="1"/>
    <n v="370"/>
    <n v="325"/>
    <x v="0"/>
    <n v="547.94000000000005"/>
    <x v="1"/>
    <n v="0"/>
    <n v="547.94000000000005"/>
  </r>
  <r>
    <s v="AR20347"/>
    <x v="0"/>
    <x v="162"/>
    <d v="2025-01-26T00:00:00"/>
    <n v="5276.49"/>
    <s v="AUD"/>
    <s v="Open"/>
    <m/>
    <s v="Net 45"/>
    <b v="1"/>
    <n v="412"/>
    <n v="367"/>
    <x v="0"/>
    <n v="5276.49"/>
    <x v="0"/>
    <n v="0"/>
    <n v="5276.49"/>
  </r>
  <r>
    <s v="AR20348"/>
    <x v="4"/>
    <x v="289"/>
    <d v="2024-06-04T00:00:00"/>
    <n v="1752.5"/>
    <s v="USD"/>
    <s v="Partial"/>
    <m/>
    <s v="Net 45"/>
    <b v="1"/>
    <n v="648"/>
    <n v="603"/>
    <x v="0"/>
    <n v="1752.5"/>
    <x v="0"/>
    <n v="0"/>
    <n v="1752.5"/>
  </r>
  <r>
    <s v="AR20349"/>
    <x v="4"/>
    <x v="290"/>
    <d v="2025-08-03T00:00:00"/>
    <n v="3580.72"/>
    <s v="AUD"/>
    <s v="Open"/>
    <m/>
    <s v="Net 45"/>
    <b v="1"/>
    <n v="223"/>
    <n v="178"/>
    <x v="0"/>
    <n v="3580.72"/>
    <x v="3"/>
    <n v="0"/>
    <n v="3580.72"/>
  </r>
  <r>
    <s v="AR20350"/>
    <x v="1"/>
    <x v="291"/>
    <d v="2023-10-08T00:00:00"/>
    <n v="6738.75"/>
    <s v="USD"/>
    <s v="Open"/>
    <m/>
    <s v="Net 45"/>
    <b v="1"/>
    <n v="888"/>
    <n v="843"/>
    <x v="0"/>
    <n v="6738.75"/>
    <x v="0"/>
    <n v="0"/>
    <n v="6738.75"/>
  </r>
  <r>
    <s v="AR20351"/>
    <x v="1"/>
    <x v="292"/>
    <d v="2024-05-04T00:00:00"/>
    <n v="4258.67"/>
    <s v="CAD"/>
    <s v="Received"/>
    <d v="2024-05-04T00:00:00"/>
    <s v="Net 45"/>
    <b v="0"/>
    <n v="45"/>
    <n v="0"/>
    <x v="1"/>
    <n v="0"/>
    <x v="2"/>
    <n v="4258.67"/>
    <n v="0"/>
  </r>
  <r>
    <s v="AR20352"/>
    <x v="1"/>
    <x v="293"/>
    <d v="2024-12-28T00:00:00"/>
    <n v="6586.55"/>
    <s v="AUD"/>
    <s v="Received"/>
    <d v="2024-12-28T00:00:00"/>
    <s v="Net 45"/>
    <b v="0"/>
    <n v="45"/>
    <n v="0"/>
    <x v="1"/>
    <n v="0"/>
    <x v="2"/>
    <n v="6586.55"/>
    <n v="0"/>
  </r>
  <r>
    <s v="AR20353"/>
    <x v="3"/>
    <x v="30"/>
    <d v="2024-06-29T00:00:00"/>
    <n v="6004.91"/>
    <s v="EUR"/>
    <s v="Open"/>
    <m/>
    <s v="Net 45"/>
    <b v="1"/>
    <n v="623"/>
    <n v="578"/>
    <x v="0"/>
    <n v="6004.91"/>
    <x v="0"/>
    <n v="0"/>
    <n v="6004.91"/>
  </r>
  <r>
    <s v="AR20354"/>
    <x v="1"/>
    <x v="294"/>
    <d v="2023-04-03T00:00:00"/>
    <n v="7397.93"/>
    <s v="USD"/>
    <s v="Partial"/>
    <m/>
    <s v="Net 45"/>
    <b v="1"/>
    <n v="1076"/>
    <n v="1031"/>
    <x v="0"/>
    <n v="7397.93"/>
    <x v="0"/>
    <n v="0"/>
    <n v="7397.93"/>
  </r>
  <r>
    <s v="AR20355"/>
    <x v="3"/>
    <x v="198"/>
    <d v="2023-10-06T00:00:00"/>
    <n v="3933.54"/>
    <s v="CAD"/>
    <s v="Received"/>
    <d v="2023-10-06T00:00:00"/>
    <s v="Net 45"/>
    <b v="0"/>
    <n v="45"/>
    <n v="0"/>
    <x v="1"/>
    <n v="0"/>
    <x v="2"/>
    <n v="3933.54"/>
    <n v="0"/>
  </r>
  <r>
    <s v="AR20356"/>
    <x v="4"/>
    <x v="24"/>
    <d v="2023-08-22T00:00:00"/>
    <n v="2855.08"/>
    <s v="GBP"/>
    <s v="Received"/>
    <d v="2023-08-22T00:00:00"/>
    <s v="Net 45"/>
    <b v="0"/>
    <n v="45"/>
    <n v="0"/>
    <x v="1"/>
    <n v="0"/>
    <x v="2"/>
    <n v="2855.08"/>
    <n v="0"/>
  </r>
  <r>
    <s v="AR20357"/>
    <x v="3"/>
    <x v="295"/>
    <d v="2023-08-01T00:00:00"/>
    <n v="1949.39"/>
    <s v="EUR"/>
    <s v="Received"/>
    <d v="2023-08-01T00:00:00"/>
    <s v="Net 45"/>
    <b v="0"/>
    <n v="45"/>
    <n v="0"/>
    <x v="1"/>
    <n v="0"/>
    <x v="2"/>
    <n v="1949.39"/>
    <n v="0"/>
  </r>
  <r>
    <s v="AR20358"/>
    <x v="1"/>
    <x v="296"/>
    <d v="2023-11-20T00:00:00"/>
    <n v="6683.45"/>
    <s v="CAD"/>
    <s v="Open"/>
    <m/>
    <s v="Net 45"/>
    <b v="1"/>
    <n v="845"/>
    <n v="800"/>
    <x v="0"/>
    <n v="6683.45"/>
    <x v="0"/>
    <n v="0"/>
    <n v="6683.45"/>
  </r>
  <r>
    <s v="AR20359"/>
    <x v="1"/>
    <x v="246"/>
    <d v="2024-02-21T00:00:00"/>
    <n v="4920.13"/>
    <s v="EUR"/>
    <s v="Received"/>
    <d v="2024-02-21T00:00:00"/>
    <s v="Net 45"/>
    <b v="0"/>
    <n v="45"/>
    <n v="0"/>
    <x v="1"/>
    <n v="0"/>
    <x v="2"/>
    <n v="4920.13"/>
    <n v="0"/>
  </r>
  <r>
    <s v="AR20360"/>
    <x v="4"/>
    <x v="297"/>
    <d v="2023-11-25T00:00:00"/>
    <n v="6345.32"/>
    <s v="USD"/>
    <s v="Open"/>
    <m/>
    <s v="Net 45"/>
    <b v="1"/>
    <n v="840"/>
    <n v="795"/>
    <x v="0"/>
    <n v="6345.32"/>
    <x v="0"/>
    <n v="0"/>
    <n v="6345.32"/>
  </r>
  <r>
    <s v="AR20361"/>
    <x v="4"/>
    <x v="298"/>
    <d v="2025-06-11T00:00:00"/>
    <n v="5576.91"/>
    <s v="AUD"/>
    <s v="Received"/>
    <d v="2025-06-11T00:00:00"/>
    <s v="Net 45"/>
    <b v="0"/>
    <n v="45"/>
    <n v="0"/>
    <x v="1"/>
    <n v="0"/>
    <x v="2"/>
    <n v="5576.91"/>
    <n v="0"/>
  </r>
  <r>
    <s v="AR20362"/>
    <x v="0"/>
    <x v="15"/>
    <d v="2025-06-13T00:00:00"/>
    <n v="6384.66"/>
    <s v="AUD"/>
    <s v="Partial"/>
    <m/>
    <s v="Net 45"/>
    <b v="1"/>
    <n v="274"/>
    <n v="229"/>
    <x v="0"/>
    <n v="6384.66"/>
    <x v="1"/>
    <n v="0"/>
    <n v="6384.66"/>
  </r>
  <r>
    <s v="AR20363"/>
    <x v="2"/>
    <x v="299"/>
    <d v="2024-03-20T00:00:00"/>
    <n v="7693.54"/>
    <s v="AUD"/>
    <s v="Partial"/>
    <m/>
    <s v="Net 45"/>
    <b v="1"/>
    <n v="724"/>
    <n v="679"/>
    <x v="0"/>
    <n v="7693.54"/>
    <x v="0"/>
    <n v="0"/>
    <n v="7693.54"/>
  </r>
  <r>
    <s v="AR20364"/>
    <x v="2"/>
    <x v="23"/>
    <d v="2023-10-19T00:00:00"/>
    <n v="6624.35"/>
    <s v="AUD"/>
    <s v="Partial"/>
    <m/>
    <s v="Net 45"/>
    <b v="1"/>
    <n v="877"/>
    <n v="832"/>
    <x v="0"/>
    <n v="6624.35"/>
    <x v="0"/>
    <n v="0"/>
    <n v="6624.35"/>
  </r>
  <r>
    <s v="AR20365"/>
    <x v="3"/>
    <x v="300"/>
    <d v="2025-06-17T00:00:00"/>
    <n v="5486.28"/>
    <s v="EUR"/>
    <s v="Received"/>
    <d v="2025-06-17T00:00:00"/>
    <s v="Net 45"/>
    <b v="0"/>
    <n v="45"/>
    <n v="0"/>
    <x v="1"/>
    <n v="0"/>
    <x v="2"/>
    <n v="5486.28"/>
    <n v="0"/>
  </r>
  <r>
    <s v="AR20366"/>
    <x v="3"/>
    <x v="301"/>
    <d v="2024-04-23T00:00:00"/>
    <n v="5222.63"/>
    <s v="GBP"/>
    <s v="Received"/>
    <d v="2024-04-23T00:00:00"/>
    <s v="Net 45"/>
    <b v="0"/>
    <n v="45"/>
    <n v="0"/>
    <x v="1"/>
    <n v="0"/>
    <x v="2"/>
    <n v="5222.63"/>
    <n v="0"/>
  </r>
  <r>
    <s v="AR20367"/>
    <x v="2"/>
    <x v="302"/>
    <d v="2024-03-28T00:00:00"/>
    <n v="7734.3"/>
    <s v="EUR"/>
    <s v="Received"/>
    <d v="2024-03-28T00:00:00"/>
    <s v="Net 45"/>
    <b v="0"/>
    <n v="45"/>
    <n v="0"/>
    <x v="1"/>
    <n v="0"/>
    <x v="2"/>
    <n v="7734.3"/>
    <n v="0"/>
  </r>
  <r>
    <s v="AR20368"/>
    <x v="4"/>
    <x v="303"/>
    <d v="2023-03-05T00:00:00"/>
    <n v="6594.56"/>
    <s v="CAD"/>
    <s v="Partial"/>
    <m/>
    <s v="Net 45"/>
    <b v="1"/>
    <n v="1105"/>
    <n v="1060"/>
    <x v="0"/>
    <n v="6594.56"/>
    <x v="0"/>
    <n v="0"/>
    <n v="6594.56"/>
  </r>
  <r>
    <s v="AR20369"/>
    <x v="0"/>
    <x v="304"/>
    <d v="2024-01-17T00:00:00"/>
    <n v="1143.42"/>
    <s v="EUR"/>
    <s v="Open"/>
    <m/>
    <s v="Net 45"/>
    <b v="1"/>
    <n v="787"/>
    <n v="742"/>
    <x v="0"/>
    <n v="1143.42"/>
    <x v="0"/>
    <n v="0"/>
    <n v="1143.42"/>
  </r>
  <r>
    <s v="AR20370"/>
    <x v="3"/>
    <x v="305"/>
    <d v="2025-03-22T00:00:00"/>
    <n v="4928.9399999999996"/>
    <s v="GBP"/>
    <s v="Partial"/>
    <m/>
    <s v="Net 45"/>
    <b v="1"/>
    <n v="357"/>
    <n v="312"/>
    <x v="0"/>
    <n v="4928.9399999999996"/>
    <x v="1"/>
    <n v="0"/>
    <n v="4928.9399999999996"/>
  </r>
  <r>
    <s v="AR20371"/>
    <x v="4"/>
    <x v="156"/>
    <d v="2023-02-16T00:00:00"/>
    <n v="1440.91"/>
    <s v="CAD"/>
    <s v="Partial"/>
    <m/>
    <s v="Net 45"/>
    <b v="1"/>
    <n v="1122"/>
    <n v="1077"/>
    <x v="0"/>
    <n v="1440.91"/>
    <x v="0"/>
    <n v="0"/>
    <n v="1440.91"/>
  </r>
  <r>
    <s v="AR20372"/>
    <x v="0"/>
    <x v="306"/>
    <d v="2024-06-16T00:00:00"/>
    <n v="1344.24"/>
    <s v="AUD"/>
    <s v="Received"/>
    <d v="2024-06-16T00:00:00"/>
    <s v="Net 45"/>
    <b v="0"/>
    <n v="45"/>
    <n v="0"/>
    <x v="1"/>
    <n v="0"/>
    <x v="2"/>
    <n v="1344.24"/>
    <n v="0"/>
  </r>
  <r>
    <s v="AR20373"/>
    <x v="4"/>
    <x v="307"/>
    <d v="2025-01-31T00:00:00"/>
    <n v="7404.05"/>
    <s v="AUD"/>
    <s v="Received"/>
    <d v="2025-01-31T00:00:00"/>
    <s v="Net 45"/>
    <b v="0"/>
    <n v="45"/>
    <n v="0"/>
    <x v="1"/>
    <n v="0"/>
    <x v="2"/>
    <n v="7404.05"/>
    <n v="0"/>
  </r>
  <r>
    <s v="AR20374"/>
    <x v="0"/>
    <x v="308"/>
    <d v="2023-09-09T00:00:00"/>
    <n v="6282.2"/>
    <s v="USD"/>
    <s v="Received"/>
    <d v="2023-09-09T00:00:00"/>
    <s v="Net 45"/>
    <b v="0"/>
    <n v="45"/>
    <n v="0"/>
    <x v="1"/>
    <n v="0"/>
    <x v="2"/>
    <n v="6282.2"/>
    <n v="0"/>
  </r>
  <r>
    <s v="AR20375"/>
    <x v="4"/>
    <x v="171"/>
    <d v="2024-07-25T00:00:00"/>
    <n v="1827.23"/>
    <s v="CAD"/>
    <s v="Partial"/>
    <m/>
    <s v="Net 45"/>
    <b v="1"/>
    <n v="597"/>
    <n v="552"/>
    <x v="0"/>
    <n v="1827.23"/>
    <x v="0"/>
    <n v="0"/>
    <n v="1827.23"/>
  </r>
  <r>
    <s v="AR20376"/>
    <x v="4"/>
    <x v="309"/>
    <d v="2023-06-23T00:00:00"/>
    <n v="5781.9"/>
    <s v="EUR"/>
    <s v="Received"/>
    <d v="2023-06-23T00:00:00"/>
    <s v="Net 45"/>
    <b v="0"/>
    <n v="45"/>
    <n v="0"/>
    <x v="1"/>
    <n v="0"/>
    <x v="2"/>
    <n v="5781.9"/>
    <n v="0"/>
  </r>
  <r>
    <s v="AR20377"/>
    <x v="0"/>
    <x v="310"/>
    <d v="2024-10-21T00:00:00"/>
    <n v="3694.12"/>
    <s v="CAD"/>
    <s v="Open"/>
    <m/>
    <s v="Net 45"/>
    <b v="1"/>
    <n v="509"/>
    <n v="464"/>
    <x v="0"/>
    <n v="3694.12"/>
    <x v="0"/>
    <n v="0"/>
    <n v="3694.12"/>
  </r>
  <r>
    <s v="AR20378"/>
    <x v="4"/>
    <x v="311"/>
    <d v="2024-11-21T00:00:00"/>
    <n v="2959.37"/>
    <s v="AUD"/>
    <s v="Received"/>
    <d v="2024-11-21T00:00:00"/>
    <s v="Net 45"/>
    <b v="0"/>
    <n v="45"/>
    <n v="0"/>
    <x v="1"/>
    <n v="0"/>
    <x v="2"/>
    <n v="2959.37"/>
    <n v="0"/>
  </r>
  <r>
    <s v="AR20379"/>
    <x v="4"/>
    <x v="312"/>
    <d v="2024-02-24T00:00:00"/>
    <n v="7215.28"/>
    <s v="USD"/>
    <s v="Received"/>
    <d v="2024-02-24T00:00:00"/>
    <s v="Net 45"/>
    <b v="0"/>
    <n v="45"/>
    <n v="0"/>
    <x v="1"/>
    <n v="0"/>
    <x v="2"/>
    <n v="7215.28"/>
    <n v="0"/>
  </r>
  <r>
    <s v="AR20380"/>
    <x v="3"/>
    <x v="313"/>
    <d v="2024-02-11T00:00:00"/>
    <n v="5960.58"/>
    <s v="USD"/>
    <s v="Received"/>
    <d v="2024-02-11T00:00:00"/>
    <s v="Net 45"/>
    <b v="0"/>
    <n v="45"/>
    <n v="0"/>
    <x v="1"/>
    <n v="0"/>
    <x v="2"/>
    <n v="5960.58"/>
    <n v="0"/>
  </r>
  <r>
    <s v="AR20381"/>
    <x v="3"/>
    <x v="314"/>
    <d v="2024-06-03T00:00:00"/>
    <n v="1497.93"/>
    <s v="GBP"/>
    <s v="Received"/>
    <d v="2024-06-03T00:00:00"/>
    <s v="Net 45"/>
    <b v="0"/>
    <n v="45"/>
    <n v="0"/>
    <x v="1"/>
    <n v="0"/>
    <x v="2"/>
    <n v="1497.93"/>
    <n v="0"/>
  </r>
  <r>
    <s v="AR20382"/>
    <x v="4"/>
    <x v="80"/>
    <d v="2024-09-28T00:00:00"/>
    <n v="2691.8"/>
    <s v="AUD"/>
    <s v="Partial"/>
    <m/>
    <s v="Net 45"/>
    <b v="1"/>
    <n v="532"/>
    <n v="487"/>
    <x v="0"/>
    <n v="2691.8"/>
    <x v="0"/>
    <n v="0"/>
    <n v="2691.8"/>
  </r>
  <r>
    <s v="AR20383"/>
    <x v="3"/>
    <x v="315"/>
    <d v="2023-09-24T00:00:00"/>
    <n v="607.58000000000004"/>
    <s v="GBP"/>
    <s v="Open"/>
    <m/>
    <s v="Net 45"/>
    <b v="1"/>
    <n v="902"/>
    <n v="857"/>
    <x v="0"/>
    <n v="607.58000000000004"/>
    <x v="0"/>
    <n v="0"/>
    <n v="607.58000000000004"/>
  </r>
  <r>
    <s v="AR20384"/>
    <x v="3"/>
    <x v="316"/>
    <d v="2023-08-31T00:00:00"/>
    <n v="6330.55"/>
    <s v="EUR"/>
    <s v="Open"/>
    <m/>
    <s v="Net 45"/>
    <b v="1"/>
    <n v="926"/>
    <n v="881"/>
    <x v="0"/>
    <n v="6330.55"/>
    <x v="0"/>
    <n v="0"/>
    <n v="6330.55"/>
  </r>
  <r>
    <s v="AR20385"/>
    <x v="0"/>
    <x v="317"/>
    <d v="2023-06-24T00:00:00"/>
    <n v="3116.61"/>
    <s v="AUD"/>
    <s v="Open"/>
    <m/>
    <s v="Net 45"/>
    <b v="1"/>
    <n v="994"/>
    <n v="949"/>
    <x v="0"/>
    <n v="3116.61"/>
    <x v="0"/>
    <n v="0"/>
    <n v="3116.61"/>
  </r>
  <r>
    <s v="AR20386"/>
    <x v="1"/>
    <x v="240"/>
    <d v="2023-03-07T00:00:00"/>
    <n v="3804.81"/>
    <s v="CAD"/>
    <s v="Open"/>
    <m/>
    <s v="Net 45"/>
    <b v="1"/>
    <n v="1103"/>
    <n v="1058"/>
    <x v="0"/>
    <n v="3804.81"/>
    <x v="0"/>
    <n v="0"/>
    <n v="3804.81"/>
  </r>
  <r>
    <s v="AR20387"/>
    <x v="4"/>
    <x v="318"/>
    <d v="2023-06-07T00:00:00"/>
    <n v="4514.3"/>
    <s v="AUD"/>
    <s v="Received"/>
    <d v="2023-06-07T00:00:00"/>
    <s v="Net 45"/>
    <b v="0"/>
    <n v="45"/>
    <n v="0"/>
    <x v="1"/>
    <n v="0"/>
    <x v="2"/>
    <n v="4514.3"/>
    <n v="0"/>
  </r>
  <r>
    <s v="AR20388"/>
    <x v="1"/>
    <x v="319"/>
    <d v="2024-09-08T00:00:00"/>
    <n v="7847.61"/>
    <s v="GBP"/>
    <s v="Open"/>
    <m/>
    <s v="Net 45"/>
    <b v="1"/>
    <n v="552"/>
    <n v="507"/>
    <x v="0"/>
    <n v="7847.61"/>
    <x v="0"/>
    <n v="0"/>
    <n v="7847.61"/>
  </r>
  <r>
    <s v="AR20389"/>
    <x v="4"/>
    <x v="320"/>
    <d v="2023-06-10T00:00:00"/>
    <n v="6567.27"/>
    <s v="USD"/>
    <s v="Partial"/>
    <m/>
    <s v="Net 45"/>
    <b v="1"/>
    <n v="1008"/>
    <n v="963"/>
    <x v="0"/>
    <n v="6567.27"/>
    <x v="0"/>
    <n v="0"/>
    <n v="6567.27"/>
  </r>
  <r>
    <s v="AR20390"/>
    <x v="3"/>
    <x v="321"/>
    <d v="2024-05-26T00:00:00"/>
    <n v="993.97"/>
    <s v="USD"/>
    <s v="Received"/>
    <d v="2024-05-26T00:00:00"/>
    <s v="Net 45"/>
    <b v="0"/>
    <n v="45"/>
    <n v="0"/>
    <x v="1"/>
    <n v="0"/>
    <x v="2"/>
    <n v="993.97"/>
    <n v="0"/>
  </r>
  <r>
    <s v="AR20391"/>
    <x v="4"/>
    <x v="322"/>
    <d v="2024-07-31T00:00:00"/>
    <n v="1676.02"/>
    <s v="USD"/>
    <s v="Partial"/>
    <m/>
    <s v="Net 45"/>
    <b v="1"/>
    <n v="591"/>
    <n v="546"/>
    <x v="0"/>
    <n v="1676.02"/>
    <x v="0"/>
    <n v="0"/>
    <n v="1676.02"/>
  </r>
  <r>
    <s v="AR20392"/>
    <x v="2"/>
    <x v="323"/>
    <d v="2024-07-18T00:00:00"/>
    <n v="2327.48"/>
    <s v="AUD"/>
    <s v="Open"/>
    <m/>
    <s v="Net 45"/>
    <b v="1"/>
    <n v="604"/>
    <n v="559"/>
    <x v="0"/>
    <n v="2327.48"/>
    <x v="0"/>
    <n v="0"/>
    <n v="2327.48"/>
  </r>
  <r>
    <s v="AR20393"/>
    <x v="4"/>
    <x v="324"/>
    <d v="2025-06-02T00:00:00"/>
    <n v="3446.92"/>
    <s v="AUD"/>
    <s v="Open"/>
    <m/>
    <s v="Net 45"/>
    <b v="1"/>
    <n v="285"/>
    <n v="240"/>
    <x v="0"/>
    <n v="3446.92"/>
    <x v="1"/>
    <n v="0"/>
    <n v="3446.92"/>
  </r>
  <r>
    <s v="AR20394"/>
    <x v="3"/>
    <x v="36"/>
    <d v="2024-09-03T00:00:00"/>
    <n v="7984.68"/>
    <s v="USD"/>
    <s v="Open"/>
    <m/>
    <s v="Net 45"/>
    <b v="1"/>
    <n v="557"/>
    <n v="512"/>
    <x v="0"/>
    <n v="7984.68"/>
    <x v="0"/>
    <n v="0"/>
    <n v="7984.68"/>
  </r>
  <r>
    <s v="AR20395"/>
    <x v="0"/>
    <x v="325"/>
    <d v="2024-03-08T00:00:00"/>
    <n v="6686.26"/>
    <s v="CAD"/>
    <s v="Partial"/>
    <m/>
    <s v="Net 45"/>
    <b v="1"/>
    <n v="736"/>
    <n v="691"/>
    <x v="0"/>
    <n v="6686.26"/>
    <x v="0"/>
    <n v="0"/>
    <n v="6686.26"/>
  </r>
  <r>
    <s v="AR20396"/>
    <x v="0"/>
    <x v="326"/>
    <d v="2025-06-15T00:00:00"/>
    <n v="7289.46"/>
    <s v="USD"/>
    <s v="Open"/>
    <m/>
    <s v="Net 45"/>
    <b v="1"/>
    <n v="272"/>
    <n v="227"/>
    <x v="0"/>
    <n v="7289.46"/>
    <x v="1"/>
    <n v="0"/>
    <n v="7289.46"/>
  </r>
  <r>
    <s v="AR20397"/>
    <x v="4"/>
    <x v="34"/>
    <d v="2025-05-08T00:00:00"/>
    <n v="5288.29"/>
    <s v="GBP"/>
    <s v="Open"/>
    <m/>
    <s v="Net 45"/>
    <b v="1"/>
    <n v="310"/>
    <n v="265"/>
    <x v="0"/>
    <n v="5288.29"/>
    <x v="1"/>
    <n v="0"/>
    <n v="5288.29"/>
  </r>
  <r>
    <s v="AR20398"/>
    <x v="2"/>
    <x v="302"/>
    <d v="2024-03-28T00:00:00"/>
    <n v="5313.93"/>
    <s v="EUR"/>
    <s v="Received"/>
    <d v="2024-03-28T00:00:00"/>
    <s v="Net 45"/>
    <b v="0"/>
    <n v="45"/>
    <n v="0"/>
    <x v="1"/>
    <n v="0"/>
    <x v="2"/>
    <n v="5313.93"/>
    <n v="0"/>
  </r>
  <r>
    <s v="AR20399"/>
    <x v="3"/>
    <x v="327"/>
    <d v="2024-02-02T00:00:00"/>
    <n v="2428.5300000000002"/>
    <s v="EUR"/>
    <s v="Open"/>
    <m/>
    <s v="Net 45"/>
    <b v="1"/>
    <n v="771"/>
    <n v="726"/>
    <x v="0"/>
    <n v="2428.5300000000002"/>
    <x v="0"/>
    <n v="0"/>
    <n v="2428.5300000000002"/>
  </r>
  <r>
    <s v="AR20400"/>
    <x v="4"/>
    <x v="328"/>
    <d v="2024-02-22T00:00:00"/>
    <n v="5026.8"/>
    <s v="GBP"/>
    <s v="Received"/>
    <d v="2024-02-22T00:00:00"/>
    <s v="Net 45"/>
    <b v="0"/>
    <n v="45"/>
    <n v="0"/>
    <x v="1"/>
    <n v="0"/>
    <x v="2"/>
    <n v="5026.8"/>
    <n v="0"/>
  </r>
  <r>
    <s v="AR20401"/>
    <x v="4"/>
    <x v="329"/>
    <d v="2024-04-06T00:00:00"/>
    <n v="5625.72"/>
    <s v="GBP"/>
    <s v="Open"/>
    <m/>
    <s v="Net 45"/>
    <b v="1"/>
    <n v="707"/>
    <n v="662"/>
    <x v="0"/>
    <n v="5625.72"/>
    <x v="0"/>
    <n v="0"/>
    <n v="5625.72"/>
  </r>
  <r>
    <s v="AR20402"/>
    <x v="4"/>
    <x v="330"/>
    <d v="2024-06-01T00:00:00"/>
    <n v="6108.32"/>
    <s v="EUR"/>
    <s v="Received"/>
    <d v="2024-06-01T00:00:00"/>
    <s v="Net 45"/>
    <b v="0"/>
    <n v="45"/>
    <n v="0"/>
    <x v="1"/>
    <n v="0"/>
    <x v="2"/>
    <n v="6108.32"/>
    <n v="0"/>
  </r>
  <r>
    <s v="AR20403"/>
    <x v="3"/>
    <x v="331"/>
    <d v="2024-12-12T00:00:00"/>
    <n v="2878.51"/>
    <s v="EUR"/>
    <s v="Received"/>
    <d v="2024-12-12T00:00:00"/>
    <s v="Net 45"/>
    <b v="0"/>
    <n v="45"/>
    <n v="0"/>
    <x v="1"/>
    <n v="0"/>
    <x v="2"/>
    <n v="2878.51"/>
    <n v="0"/>
  </r>
  <r>
    <s v="AR20404"/>
    <x v="2"/>
    <x v="332"/>
    <d v="2023-08-18T00:00:00"/>
    <n v="4123.71"/>
    <s v="GBP"/>
    <s v="Open"/>
    <m/>
    <s v="Net 45"/>
    <b v="1"/>
    <n v="939"/>
    <n v="894"/>
    <x v="0"/>
    <n v="4123.71"/>
    <x v="0"/>
    <n v="0"/>
    <n v="4123.71"/>
  </r>
  <r>
    <s v="AR20405"/>
    <x v="3"/>
    <x v="178"/>
    <d v="2025-07-21T00:00:00"/>
    <n v="6281.96"/>
    <s v="AUD"/>
    <s v="Partial"/>
    <m/>
    <s v="Net 45"/>
    <b v="1"/>
    <n v="236"/>
    <n v="191"/>
    <x v="0"/>
    <n v="6281.96"/>
    <x v="1"/>
    <n v="0"/>
    <n v="6281.96"/>
  </r>
  <r>
    <s v="AR20406"/>
    <x v="0"/>
    <x v="108"/>
    <d v="2024-06-06T00:00:00"/>
    <n v="5969.43"/>
    <s v="CAD"/>
    <s v="Open"/>
    <m/>
    <s v="Net 45"/>
    <b v="1"/>
    <n v="646"/>
    <n v="601"/>
    <x v="0"/>
    <n v="5969.43"/>
    <x v="0"/>
    <n v="0"/>
    <n v="5969.43"/>
  </r>
  <r>
    <s v="AR20407"/>
    <x v="0"/>
    <x v="333"/>
    <d v="2025-02-15T00:00:00"/>
    <n v="1704.24"/>
    <s v="EUR"/>
    <s v="Partial"/>
    <m/>
    <s v="Net 45"/>
    <b v="1"/>
    <n v="392"/>
    <n v="347"/>
    <x v="0"/>
    <n v="1704.24"/>
    <x v="1"/>
    <n v="0"/>
    <n v="1704.24"/>
  </r>
  <r>
    <s v="AR20408"/>
    <x v="1"/>
    <x v="237"/>
    <d v="2025-01-25T00:00:00"/>
    <n v="4385.67"/>
    <s v="EUR"/>
    <s v="Partial"/>
    <m/>
    <s v="Net 45"/>
    <b v="1"/>
    <n v="413"/>
    <n v="368"/>
    <x v="0"/>
    <n v="4385.67"/>
    <x v="0"/>
    <n v="0"/>
    <n v="4385.67"/>
  </r>
  <r>
    <s v="AR20409"/>
    <x v="2"/>
    <x v="334"/>
    <d v="2024-12-18T00:00:00"/>
    <n v="6943.83"/>
    <s v="USD"/>
    <s v="Received"/>
    <d v="2024-12-18T00:00:00"/>
    <s v="Net 45"/>
    <b v="0"/>
    <n v="45"/>
    <n v="0"/>
    <x v="1"/>
    <n v="0"/>
    <x v="2"/>
    <n v="6943.83"/>
    <n v="0"/>
  </r>
  <r>
    <s v="AR20410"/>
    <x v="1"/>
    <x v="335"/>
    <d v="2023-12-19T00:00:00"/>
    <n v="2227.16"/>
    <s v="AUD"/>
    <s v="Received"/>
    <d v="2023-12-19T00:00:00"/>
    <s v="Net 45"/>
    <b v="0"/>
    <n v="45"/>
    <n v="0"/>
    <x v="1"/>
    <n v="0"/>
    <x v="2"/>
    <n v="2227.16"/>
    <n v="0"/>
  </r>
  <r>
    <s v="AR20411"/>
    <x v="0"/>
    <x v="192"/>
    <d v="2023-04-12T00:00:00"/>
    <n v="4541.6400000000003"/>
    <s v="GBP"/>
    <s v="Received"/>
    <d v="2023-04-12T00:00:00"/>
    <s v="Net 45"/>
    <b v="0"/>
    <n v="45"/>
    <n v="0"/>
    <x v="1"/>
    <n v="0"/>
    <x v="2"/>
    <n v="4541.6400000000003"/>
    <n v="0"/>
  </r>
  <r>
    <s v="AR20412"/>
    <x v="3"/>
    <x v="145"/>
    <d v="2023-07-12T00:00:00"/>
    <n v="4684.49"/>
    <s v="CAD"/>
    <s v="Received"/>
    <d v="2023-07-12T00:00:00"/>
    <s v="Net 45"/>
    <b v="0"/>
    <n v="45"/>
    <n v="0"/>
    <x v="1"/>
    <n v="0"/>
    <x v="2"/>
    <n v="4684.49"/>
    <n v="0"/>
  </r>
  <r>
    <s v="AR20413"/>
    <x v="2"/>
    <x v="336"/>
    <d v="2023-12-09T00:00:00"/>
    <n v="2115.17"/>
    <s v="AUD"/>
    <s v="Partial"/>
    <m/>
    <s v="Net 45"/>
    <b v="1"/>
    <n v="826"/>
    <n v="781"/>
    <x v="0"/>
    <n v="2115.17"/>
    <x v="0"/>
    <n v="0"/>
    <n v="2115.17"/>
  </r>
  <r>
    <s v="AR20414"/>
    <x v="1"/>
    <x v="144"/>
    <d v="2025-06-21T00:00:00"/>
    <n v="3323.86"/>
    <s v="USD"/>
    <s v="Open"/>
    <m/>
    <s v="Net 45"/>
    <b v="1"/>
    <n v="266"/>
    <n v="221"/>
    <x v="0"/>
    <n v="3323.86"/>
    <x v="1"/>
    <n v="0"/>
    <n v="3323.86"/>
  </r>
  <r>
    <s v="AR20415"/>
    <x v="2"/>
    <x v="337"/>
    <d v="2024-04-27T00:00:00"/>
    <n v="630.55999999999995"/>
    <s v="EUR"/>
    <s v="Received"/>
    <d v="2024-04-27T00:00:00"/>
    <s v="Net 45"/>
    <b v="0"/>
    <n v="45"/>
    <n v="0"/>
    <x v="1"/>
    <n v="0"/>
    <x v="2"/>
    <n v="630.55999999999995"/>
    <n v="0"/>
  </r>
  <r>
    <s v="AR20416"/>
    <x v="4"/>
    <x v="73"/>
    <d v="2024-11-29T00:00:00"/>
    <n v="3609.1"/>
    <s v="EUR"/>
    <s v="Open"/>
    <m/>
    <s v="Net 45"/>
    <b v="1"/>
    <n v="470"/>
    <n v="425"/>
    <x v="0"/>
    <n v="3609.1"/>
    <x v="0"/>
    <n v="0"/>
    <n v="3609.1"/>
  </r>
  <r>
    <s v="AR20417"/>
    <x v="0"/>
    <x v="281"/>
    <d v="2024-01-21T00:00:00"/>
    <n v="4482.32"/>
    <s v="USD"/>
    <s v="Received"/>
    <d v="2024-01-21T00:00:00"/>
    <s v="Net 45"/>
    <b v="0"/>
    <n v="45"/>
    <n v="0"/>
    <x v="1"/>
    <n v="0"/>
    <x v="2"/>
    <n v="4482.32"/>
    <n v="0"/>
  </r>
  <r>
    <s v="AR20418"/>
    <x v="2"/>
    <x v="121"/>
    <d v="2025-07-14T00:00:00"/>
    <n v="3470.79"/>
    <s v="USD"/>
    <s v="Open"/>
    <m/>
    <s v="Net 45"/>
    <b v="1"/>
    <n v="243"/>
    <n v="198"/>
    <x v="0"/>
    <n v="3470.79"/>
    <x v="1"/>
    <n v="0"/>
    <n v="3470.79"/>
  </r>
  <r>
    <s v="AR20419"/>
    <x v="1"/>
    <x v="338"/>
    <d v="2024-02-19T00:00:00"/>
    <n v="6289.6"/>
    <s v="AUD"/>
    <s v="Received"/>
    <d v="2024-02-19T00:00:00"/>
    <s v="Net 45"/>
    <b v="0"/>
    <n v="45"/>
    <n v="0"/>
    <x v="1"/>
    <n v="0"/>
    <x v="2"/>
    <n v="6289.6"/>
    <n v="0"/>
  </r>
  <r>
    <s v="AR20420"/>
    <x v="1"/>
    <x v="339"/>
    <d v="2024-12-19T00:00:00"/>
    <n v="4991.91"/>
    <s v="AUD"/>
    <s v="Open"/>
    <m/>
    <s v="Net 45"/>
    <b v="1"/>
    <n v="450"/>
    <n v="405"/>
    <x v="0"/>
    <n v="4991.91"/>
    <x v="0"/>
    <n v="0"/>
    <n v="4991.91"/>
  </r>
  <r>
    <s v="AR20421"/>
    <x v="4"/>
    <x v="340"/>
    <d v="2024-04-25T00:00:00"/>
    <n v="2777.5"/>
    <s v="EUR"/>
    <s v="Open"/>
    <m/>
    <s v="Net 45"/>
    <b v="1"/>
    <n v="688"/>
    <n v="643"/>
    <x v="0"/>
    <n v="2777.5"/>
    <x v="0"/>
    <n v="0"/>
    <n v="2777.5"/>
  </r>
  <r>
    <s v="AR20422"/>
    <x v="3"/>
    <x v="9"/>
    <d v="2024-01-25T00:00:00"/>
    <n v="3425.68"/>
    <s v="CAD"/>
    <s v="Received"/>
    <d v="2024-01-25T00:00:00"/>
    <s v="Net 45"/>
    <b v="0"/>
    <n v="45"/>
    <n v="0"/>
    <x v="1"/>
    <n v="0"/>
    <x v="2"/>
    <n v="3425.68"/>
    <n v="0"/>
  </r>
  <r>
    <s v="AR20423"/>
    <x v="0"/>
    <x v="341"/>
    <d v="2023-05-19T00:00:00"/>
    <n v="2290.34"/>
    <s v="GBP"/>
    <s v="Received"/>
    <d v="2023-05-19T00:00:00"/>
    <s v="Net 45"/>
    <b v="0"/>
    <n v="45"/>
    <n v="0"/>
    <x v="1"/>
    <n v="0"/>
    <x v="2"/>
    <n v="2290.34"/>
    <n v="0"/>
  </r>
  <r>
    <s v="AR20424"/>
    <x v="0"/>
    <x v="56"/>
    <d v="2025-02-07T00:00:00"/>
    <n v="5290.53"/>
    <s v="CAD"/>
    <s v="Received"/>
    <d v="2025-02-07T00:00:00"/>
    <s v="Net 45"/>
    <b v="0"/>
    <n v="45"/>
    <n v="0"/>
    <x v="1"/>
    <n v="0"/>
    <x v="2"/>
    <n v="5290.53"/>
    <n v="0"/>
  </r>
  <r>
    <s v="AR20425"/>
    <x v="1"/>
    <x v="342"/>
    <d v="2023-10-23T00:00:00"/>
    <n v="7106.93"/>
    <s v="EUR"/>
    <s v="Partial"/>
    <m/>
    <s v="Net 45"/>
    <b v="1"/>
    <n v="873"/>
    <n v="828"/>
    <x v="0"/>
    <n v="7106.93"/>
    <x v="0"/>
    <n v="0"/>
    <n v="7106.93"/>
  </r>
  <r>
    <s v="AR20426"/>
    <x v="0"/>
    <x v="343"/>
    <d v="2024-11-19T00:00:00"/>
    <n v="5137.3500000000004"/>
    <s v="GBP"/>
    <s v="Open"/>
    <m/>
    <s v="Net 45"/>
    <b v="1"/>
    <n v="480"/>
    <n v="435"/>
    <x v="0"/>
    <n v="5137.3500000000004"/>
    <x v="0"/>
    <n v="0"/>
    <n v="5137.3500000000004"/>
  </r>
  <r>
    <s v="AR20427"/>
    <x v="4"/>
    <x v="344"/>
    <d v="2024-01-08T00:00:00"/>
    <n v="1913.3"/>
    <s v="USD"/>
    <s v="Received"/>
    <d v="2024-01-08T00:00:00"/>
    <s v="Net 45"/>
    <b v="0"/>
    <n v="45"/>
    <n v="0"/>
    <x v="1"/>
    <n v="0"/>
    <x v="2"/>
    <n v="1913.3"/>
    <n v="0"/>
  </r>
  <r>
    <s v="AR20428"/>
    <x v="4"/>
    <x v="345"/>
    <d v="2023-02-25T00:00:00"/>
    <n v="691.52"/>
    <s v="GBP"/>
    <s v="Partial"/>
    <m/>
    <s v="Net 45"/>
    <b v="1"/>
    <n v="1113"/>
    <n v="1068"/>
    <x v="0"/>
    <n v="691.52"/>
    <x v="0"/>
    <n v="0"/>
    <n v="691.52"/>
  </r>
  <r>
    <s v="AR20429"/>
    <x v="1"/>
    <x v="281"/>
    <d v="2024-01-21T00:00:00"/>
    <n v="4176.67"/>
    <s v="AUD"/>
    <s v="Open"/>
    <m/>
    <s v="Net 45"/>
    <b v="1"/>
    <n v="783"/>
    <n v="738"/>
    <x v="0"/>
    <n v="4176.67"/>
    <x v="0"/>
    <n v="0"/>
    <n v="4176.67"/>
  </r>
  <r>
    <s v="AR20430"/>
    <x v="4"/>
    <x v="346"/>
    <d v="2023-07-11T00:00:00"/>
    <n v="1480.05"/>
    <s v="EUR"/>
    <s v="Open"/>
    <m/>
    <s v="Net 45"/>
    <b v="1"/>
    <n v="977"/>
    <n v="932"/>
    <x v="0"/>
    <n v="1480.05"/>
    <x v="0"/>
    <n v="0"/>
    <n v="1480.05"/>
  </r>
  <r>
    <s v="AR20431"/>
    <x v="1"/>
    <x v="347"/>
    <d v="2025-07-01T00:00:00"/>
    <n v="6143.97"/>
    <s v="EUR"/>
    <s v="Open"/>
    <m/>
    <s v="Net 45"/>
    <b v="1"/>
    <n v="256"/>
    <n v="211"/>
    <x v="0"/>
    <n v="6143.97"/>
    <x v="1"/>
    <n v="0"/>
    <n v="6143.97"/>
  </r>
  <r>
    <s v="AR20432"/>
    <x v="3"/>
    <x v="250"/>
    <d v="2024-03-22T00:00:00"/>
    <n v="6797.28"/>
    <s v="CAD"/>
    <s v="Open"/>
    <m/>
    <s v="Net 45"/>
    <b v="1"/>
    <n v="722"/>
    <n v="677"/>
    <x v="0"/>
    <n v="6797.28"/>
    <x v="0"/>
    <n v="0"/>
    <n v="6797.28"/>
  </r>
  <r>
    <s v="AR20433"/>
    <x v="4"/>
    <x v="26"/>
    <d v="2023-05-05T00:00:00"/>
    <n v="7109.3"/>
    <s v="EUR"/>
    <s v="Partial"/>
    <m/>
    <s v="Net 45"/>
    <b v="1"/>
    <n v="1044"/>
    <n v="999"/>
    <x v="0"/>
    <n v="7109.3"/>
    <x v="0"/>
    <n v="0"/>
    <n v="7109.3"/>
  </r>
  <r>
    <s v="AR20434"/>
    <x v="4"/>
    <x v="236"/>
    <d v="2023-07-31T00:00:00"/>
    <n v="783.4"/>
    <s v="GBP"/>
    <s v="Partial"/>
    <m/>
    <s v="Net 45"/>
    <b v="1"/>
    <n v="957"/>
    <n v="912"/>
    <x v="0"/>
    <n v="783.4"/>
    <x v="0"/>
    <n v="0"/>
    <n v="783.4"/>
  </r>
  <r>
    <s v="AR20435"/>
    <x v="1"/>
    <x v="348"/>
    <d v="2025-03-04T00:00:00"/>
    <n v="807.05"/>
    <s v="USD"/>
    <s v="Partial"/>
    <m/>
    <s v="Net 45"/>
    <b v="1"/>
    <n v="375"/>
    <n v="330"/>
    <x v="0"/>
    <n v="807.05"/>
    <x v="1"/>
    <n v="0"/>
    <n v="807.05"/>
  </r>
  <r>
    <s v="AR20436"/>
    <x v="1"/>
    <x v="349"/>
    <d v="2024-07-04T00:00:00"/>
    <n v="5687.58"/>
    <s v="CAD"/>
    <s v="Received"/>
    <d v="2024-07-04T00:00:00"/>
    <s v="Net 45"/>
    <b v="0"/>
    <n v="45"/>
    <n v="0"/>
    <x v="1"/>
    <n v="0"/>
    <x v="2"/>
    <n v="5687.58"/>
    <n v="0"/>
  </r>
  <r>
    <s v="AR20437"/>
    <x v="2"/>
    <x v="321"/>
    <d v="2024-05-26T00:00:00"/>
    <n v="7018.75"/>
    <s v="USD"/>
    <s v="Open"/>
    <m/>
    <s v="Net 45"/>
    <b v="1"/>
    <n v="657"/>
    <n v="612"/>
    <x v="0"/>
    <n v="7018.75"/>
    <x v="0"/>
    <n v="0"/>
    <n v="7018.75"/>
  </r>
  <r>
    <s v="AR20438"/>
    <x v="4"/>
    <x v="350"/>
    <d v="2023-09-27T00:00:00"/>
    <n v="3873.48"/>
    <s v="USD"/>
    <s v="Received"/>
    <d v="2023-09-27T00:00:00"/>
    <s v="Net 45"/>
    <b v="0"/>
    <n v="45"/>
    <n v="0"/>
    <x v="1"/>
    <n v="0"/>
    <x v="2"/>
    <n v="3873.48"/>
    <n v="0"/>
  </r>
  <r>
    <s v="AR20439"/>
    <x v="4"/>
    <x v="351"/>
    <d v="2025-06-28T00:00:00"/>
    <n v="538.58000000000004"/>
    <s v="EUR"/>
    <s v="Received"/>
    <d v="2025-06-28T00:00:00"/>
    <s v="Net 45"/>
    <b v="0"/>
    <n v="45"/>
    <n v="0"/>
    <x v="1"/>
    <n v="0"/>
    <x v="2"/>
    <n v="538.58000000000004"/>
    <n v="0"/>
  </r>
  <r>
    <s v="AR20440"/>
    <x v="0"/>
    <x v="276"/>
    <d v="2023-06-20T00:00:00"/>
    <n v="566.46"/>
    <s v="AUD"/>
    <s v="Received"/>
    <d v="2023-06-20T00:00:00"/>
    <s v="Net 45"/>
    <b v="0"/>
    <n v="45"/>
    <n v="0"/>
    <x v="1"/>
    <n v="0"/>
    <x v="2"/>
    <n v="566.46"/>
    <n v="0"/>
  </r>
  <r>
    <s v="AR20441"/>
    <x v="0"/>
    <x v="352"/>
    <d v="2025-06-29T00:00:00"/>
    <n v="2303.2399999999998"/>
    <s v="CAD"/>
    <s v="Partial"/>
    <m/>
    <s v="Net 45"/>
    <b v="1"/>
    <n v="258"/>
    <n v="213"/>
    <x v="0"/>
    <n v="2303.2399999999998"/>
    <x v="1"/>
    <n v="0"/>
    <n v="2303.2399999999998"/>
  </r>
  <r>
    <s v="AR20442"/>
    <x v="0"/>
    <x v="353"/>
    <d v="2023-11-14T00:00:00"/>
    <n v="2906.05"/>
    <s v="AUD"/>
    <s v="Partial"/>
    <m/>
    <s v="Net 45"/>
    <b v="1"/>
    <n v="851"/>
    <n v="806"/>
    <x v="0"/>
    <n v="2906.05"/>
    <x v="0"/>
    <n v="0"/>
    <n v="2906.05"/>
  </r>
  <r>
    <s v="AR20443"/>
    <x v="3"/>
    <x v="354"/>
    <d v="2023-02-21T00:00:00"/>
    <n v="5629.9"/>
    <s v="EUR"/>
    <s v="Received"/>
    <d v="2023-02-21T00:00:00"/>
    <s v="Net 45"/>
    <b v="0"/>
    <n v="45"/>
    <n v="0"/>
    <x v="1"/>
    <n v="0"/>
    <x v="2"/>
    <n v="5629.9"/>
    <n v="0"/>
  </r>
  <r>
    <s v="AR20444"/>
    <x v="1"/>
    <x v="21"/>
    <d v="2024-08-22T00:00:00"/>
    <n v="1428.87"/>
    <s v="CAD"/>
    <s v="Received"/>
    <d v="2024-08-22T00:00:00"/>
    <s v="Net 45"/>
    <b v="0"/>
    <n v="45"/>
    <n v="0"/>
    <x v="1"/>
    <n v="0"/>
    <x v="2"/>
    <n v="1428.87"/>
    <n v="0"/>
  </r>
  <r>
    <s v="AR20445"/>
    <x v="1"/>
    <x v="217"/>
    <d v="2025-04-19T00:00:00"/>
    <n v="2726.63"/>
    <s v="GBP"/>
    <s v="Received"/>
    <d v="2025-04-19T00:00:00"/>
    <s v="Net 45"/>
    <b v="0"/>
    <n v="45"/>
    <n v="0"/>
    <x v="1"/>
    <n v="0"/>
    <x v="2"/>
    <n v="2726.63"/>
    <n v="0"/>
  </r>
  <r>
    <s v="AR20446"/>
    <x v="3"/>
    <x v="355"/>
    <d v="2024-02-13T00:00:00"/>
    <n v="4561.8999999999996"/>
    <s v="USD"/>
    <s v="Partial"/>
    <m/>
    <s v="Net 45"/>
    <b v="1"/>
    <n v="760"/>
    <n v="715"/>
    <x v="0"/>
    <n v="4561.8999999999996"/>
    <x v="0"/>
    <n v="0"/>
    <n v="4561.8999999999996"/>
  </r>
  <r>
    <s v="AR20447"/>
    <x v="0"/>
    <x v="30"/>
    <d v="2024-06-29T00:00:00"/>
    <n v="6920.67"/>
    <s v="AUD"/>
    <s v="Partial"/>
    <m/>
    <s v="Net 45"/>
    <b v="1"/>
    <n v="623"/>
    <n v="578"/>
    <x v="0"/>
    <n v="6920.67"/>
    <x v="0"/>
    <n v="0"/>
    <n v="6920.67"/>
  </r>
  <r>
    <s v="AR20448"/>
    <x v="3"/>
    <x v="259"/>
    <d v="2024-07-20T00:00:00"/>
    <n v="1154.44"/>
    <s v="AUD"/>
    <s v="Partial"/>
    <m/>
    <s v="Net 45"/>
    <b v="1"/>
    <n v="602"/>
    <n v="557"/>
    <x v="0"/>
    <n v="1154.44"/>
    <x v="0"/>
    <n v="0"/>
    <n v="1154.44"/>
  </r>
  <r>
    <s v="AR20449"/>
    <x v="0"/>
    <x v="356"/>
    <d v="2025-04-28T00:00:00"/>
    <n v="6463.29"/>
    <s v="GBP"/>
    <s v="Received"/>
    <d v="2025-04-28T00:00:00"/>
    <s v="Net 45"/>
    <b v="0"/>
    <n v="45"/>
    <n v="0"/>
    <x v="1"/>
    <n v="0"/>
    <x v="2"/>
    <n v="6463.29"/>
    <n v="0"/>
  </r>
  <r>
    <s v="AR20450"/>
    <x v="4"/>
    <x v="357"/>
    <d v="2024-11-09T00:00:00"/>
    <n v="2374.91"/>
    <s v="EUR"/>
    <s v="Partial"/>
    <m/>
    <s v="Net 45"/>
    <b v="1"/>
    <n v="490"/>
    <n v="445"/>
    <x v="0"/>
    <n v="2374.91"/>
    <x v="0"/>
    <n v="0"/>
    <n v="2374.91"/>
  </r>
  <r>
    <s v="AR20451"/>
    <x v="0"/>
    <x v="342"/>
    <d v="2023-10-23T00:00:00"/>
    <n v="2984.83"/>
    <s v="AUD"/>
    <s v="Open"/>
    <m/>
    <s v="Net 45"/>
    <b v="1"/>
    <n v="873"/>
    <n v="828"/>
    <x v="0"/>
    <n v="2984.83"/>
    <x v="0"/>
    <n v="0"/>
    <n v="2984.83"/>
  </r>
  <r>
    <s v="AR20452"/>
    <x v="2"/>
    <x v="358"/>
    <d v="2023-05-04T00:00:00"/>
    <n v="5377.36"/>
    <s v="GBP"/>
    <s v="Partial"/>
    <m/>
    <s v="Net 45"/>
    <b v="1"/>
    <n v="1045"/>
    <n v="1000"/>
    <x v="0"/>
    <n v="5377.36"/>
    <x v="0"/>
    <n v="0"/>
    <n v="5377.36"/>
  </r>
  <r>
    <s v="AR20453"/>
    <x v="2"/>
    <x v="359"/>
    <d v="2024-11-17T00:00:00"/>
    <n v="4366.74"/>
    <s v="EUR"/>
    <s v="Open"/>
    <m/>
    <s v="Net 45"/>
    <b v="1"/>
    <n v="482"/>
    <n v="437"/>
    <x v="0"/>
    <n v="4366.74"/>
    <x v="0"/>
    <n v="0"/>
    <n v="4366.74"/>
  </r>
  <r>
    <s v="AR20454"/>
    <x v="2"/>
    <x v="269"/>
    <d v="2024-03-16T00:00:00"/>
    <n v="2198.7600000000002"/>
    <s v="GBP"/>
    <s v="Partial"/>
    <m/>
    <s v="Net 45"/>
    <b v="1"/>
    <n v="728"/>
    <n v="683"/>
    <x v="0"/>
    <n v="2198.7600000000002"/>
    <x v="0"/>
    <n v="0"/>
    <n v="2198.7600000000002"/>
  </r>
  <r>
    <s v="AR20455"/>
    <x v="0"/>
    <x v="332"/>
    <d v="2023-08-18T00:00:00"/>
    <n v="2079.5700000000002"/>
    <s v="CAD"/>
    <s v="Open"/>
    <m/>
    <s v="Net 45"/>
    <b v="1"/>
    <n v="939"/>
    <n v="894"/>
    <x v="0"/>
    <n v="2079.5700000000002"/>
    <x v="0"/>
    <n v="0"/>
    <n v="2079.5700000000002"/>
  </r>
  <r>
    <s v="AR20456"/>
    <x v="4"/>
    <x v="360"/>
    <d v="2024-05-28T00:00:00"/>
    <n v="6720.98"/>
    <s v="AUD"/>
    <s v="Open"/>
    <m/>
    <s v="Net 45"/>
    <b v="1"/>
    <n v="655"/>
    <n v="610"/>
    <x v="0"/>
    <n v="6720.98"/>
    <x v="0"/>
    <n v="0"/>
    <n v="6720.98"/>
  </r>
  <r>
    <s v="AR20457"/>
    <x v="2"/>
    <x v="350"/>
    <d v="2023-09-27T00:00:00"/>
    <n v="1057.5899999999999"/>
    <s v="AUD"/>
    <s v="Partial"/>
    <m/>
    <s v="Net 45"/>
    <b v="1"/>
    <n v="899"/>
    <n v="854"/>
    <x v="0"/>
    <n v="1057.5899999999999"/>
    <x v="0"/>
    <n v="0"/>
    <n v="1057.5899999999999"/>
  </r>
  <r>
    <s v="AR20458"/>
    <x v="1"/>
    <x v="361"/>
    <d v="2024-03-06T00:00:00"/>
    <n v="2255.79"/>
    <s v="USD"/>
    <s v="Received"/>
    <d v="2024-03-06T00:00:00"/>
    <s v="Net 45"/>
    <b v="0"/>
    <n v="45"/>
    <n v="0"/>
    <x v="1"/>
    <n v="0"/>
    <x v="2"/>
    <n v="2255.79"/>
    <n v="0"/>
  </r>
  <r>
    <s v="AR20459"/>
    <x v="1"/>
    <x v="362"/>
    <d v="2024-08-27T00:00:00"/>
    <n v="5123.8599999999997"/>
    <s v="USD"/>
    <s v="Partial"/>
    <m/>
    <s v="Net 45"/>
    <b v="1"/>
    <n v="564"/>
    <n v="519"/>
    <x v="0"/>
    <n v="5123.8599999999997"/>
    <x v="0"/>
    <n v="0"/>
    <n v="5123.8599999999997"/>
  </r>
  <r>
    <s v="AR20460"/>
    <x v="0"/>
    <x v="246"/>
    <d v="2024-02-21T00:00:00"/>
    <n v="6519.59"/>
    <s v="EUR"/>
    <s v="Partial"/>
    <m/>
    <s v="Net 45"/>
    <b v="1"/>
    <n v="752"/>
    <n v="707"/>
    <x v="0"/>
    <n v="6519.59"/>
    <x v="0"/>
    <n v="0"/>
    <n v="6519.59"/>
  </r>
  <r>
    <s v="AR20461"/>
    <x v="1"/>
    <x v="363"/>
    <d v="2025-02-12T00:00:00"/>
    <n v="662.3"/>
    <s v="EUR"/>
    <s v="Received"/>
    <d v="2025-02-12T00:00:00"/>
    <s v="Net 45"/>
    <b v="0"/>
    <n v="45"/>
    <n v="0"/>
    <x v="1"/>
    <n v="0"/>
    <x v="2"/>
    <n v="662.3"/>
    <n v="0"/>
  </r>
  <r>
    <s v="AR20462"/>
    <x v="4"/>
    <x v="364"/>
    <d v="2024-06-05T00:00:00"/>
    <n v="1797.3"/>
    <s v="EUR"/>
    <s v="Open"/>
    <m/>
    <s v="Net 45"/>
    <b v="1"/>
    <n v="647"/>
    <n v="602"/>
    <x v="0"/>
    <n v="1797.3"/>
    <x v="0"/>
    <n v="0"/>
    <n v="1797.3"/>
  </r>
  <r>
    <s v="AR20463"/>
    <x v="3"/>
    <x v="365"/>
    <d v="2023-07-01T00:00:00"/>
    <n v="3397.38"/>
    <s v="EUR"/>
    <s v="Received"/>
    <d v="2023-07-01T00:00:00"/>
    <s v="Net 45"/>
    <b v="0"/>
    <n v="45"/>
    <n v="0"/>
    <x v="1"/>
    <n v="0"/>
    <x v="2"/>
    <n v="3397.38"/>
    <n v="0"/>
  </r>
  <r>
    <s v="AR20464"/>
    <x v="3"/>
    <x v="250"/>
    <d v="2024-03-22T00:00:00"/>
    <n v="3447.69"/>
    <s v="GBP"/>
    <s v="Received"/>
    <d v="2024-03-22T00:00:00"/>
    <s v="Net 45"/>
    <b v="0"/>
    <n v="45"/>
    <n v="0"/>
    <x v="1"/>
    <n v="0"/>
    <x v="2"/>
    <n v="3447.69"/>
    <n v="0"/>
  </r>
  <r>
    <s v="AR20465"/>
    <x v="4"/>
    <x v="289"/>
    <d v="2024-06-04T00:00:00"/>
    <n v="1445.51"/>
    <s v="GBP"/>
    <s v="Partial"/>
    <m/>
    <s v="Net 45"/>
    <b v="1"/>
    <n v="648"/>
    <n v="603"/>
    <x v="0"/>
    <n v="1445.51"/>
    <x v="0"/>
    <n v="0"/>
    <n v="1445.51"/>
  </r>
  <r>
    <s v="AR20466"/>
    <x v="4"/>
    <x v="366"/>
    <d v="2025-04-21T00:00:00"/>
    <n v="5287.65"/>
    <s v="USD"/>
    <s v="Partial"/>
    <m/>
    <s v="Net 45"/>
    <b v="1"/>
    <n v="327"/>
    <n v="282"/>
    <x v="0"/>
    <n v="5287.65"/>
    <x v="1"/>
    <n v="0"/>
    <n v="5287.65"/>
  </r>
  <r>
    <s v="AR20467"/>
    <x v="1"/>
    <x v="215"/>
    <d v="2024-04-05T00:00:00"/>
    <n v="6849.97"/>
    <s v="AUD"/>
    <s v="Partial"/>
    <m/>
    <s v="Net 45"/>
    <b v="1"/>
    <n v="708"/>
    <n v="663"/>
    <x v="0"/>
    <n v="6849.97"/>
    <x v="0"/>
    <n v="0"/>
    <n v="6849.97"/>
  </r>
  <r>
    <s v="AR20468"/>
    <x v="1"/>
    <x v="367"/>
    <d v="2023-03-19T00:00:00"/>
    <n v="3057.81"/>
    <s v="GBP"/>
    <s v="Open"/>
    <m/>
    <s v="Net 45"/>
    <b v="1"/>
    <n v="1091"/>
    <n v="1046"/>
    <x v="0"/>
    <n v="3057.81"/>
    <x v="0"/>
    <n v="0"/>
    <n v="3057.81"/>
  </r>
  <r>
    <s v="AR20469"/>
    <x v="2"/>
    <x v="368"/>
    <d v="2024-12-05T00:00:00"/>
    <n v="228.89"/>
    <s v="CAD"/>
    <s v="Received"/>
    <d v="2024-12-05T00:00:00"/>
    <s v="Net 45"/>
    <b v="0"/>
    <n v="45"/>
    <n v="0"/>
    <x v="1"/>
    <n v="0"/>
    <x v="2"/>
    <n v="228.89"/>
    <n v="0"/>
  </r>
  <r>
    <s v="AR20470"/>
    <x v="0"/>
    <x v="150"/>
    <d v="2025-04-12T00:00:00"/>
    <n v="2991.8"/>
    <s v="USD"/>
    <s v="Received"/>
    <d v="2025-04-12T00:00:00"/>
    <s v="Net 45"/>
    <b v="0"/>
    <n v="45"/>
    <n v="0"/>
    <x v="1"/>
    <n v="0"/>
    <x v="2"/>
    <n v="2991.8"/>
    <n v="0"/>
  </r>
  <r>
    <s v="AR20471"/>
    <x v="2"/>
    <x v="369"/>
    <d v="2023-08-05T00:00:00"/>
    <n v="5406.93"/>
    <s v="AUD"/>
    <s v="Open"/>
    <m/>
    <s v="Net 45"/>
    <b v="1"/>
    <n v="952"/>
    <n v="907"/>
    <x v="0"/>
    <n v="5406.93"/>
    <x v="0"/>
    <n v="0"/>
    <n v="5406.93"/>
  </r>
  <r>
    <s v="AR20472"/>
    <x v="0"/>
    <x v="264"/>
    <d v="2025-01-05T00:00:00"/>
    <n v="6854.97"/>
    <s v="USD"/>
    <s v="Partial"/>
    <m/>
    <s v="Net 45"/>
    <b v="1"/>
    <n v="433"/>
    <n v="388"/>
    <x v="0"/>
    <n v="6854.97"/>
    <x v="0"/>
    <n v="0"/>
    <n v="6854.97"/>
  </r>
  <r>
    <s v="AR20473"/>
    <x v="3"/>
    <x v="370"/>
    <d v="2023-03-14T00:00:00"/>
    <n v="877.13"/>
    <s v="EUR"/>
    <s v="Received"/>
    <d v="2023-03-14T00:00:00"/>
    <s v="Net 45"/>
    <b v="0"/>
    <n v="45"/>
    <n v="0"/>
    <x v="1"/>
    <n v="0"/>
    <x v="2"/>
    <n v="877.13"/>
    <n v="0"/>
  </r>
  <r>
    <s v="AR20474"/>
    <x v="4"/>
    <x v="18"/>
    <d v="2024-05-24T00:00:00"/>
    <n v="2494.5300000000002"/>
    <s v="EUR"/>
    <s v="Open"/>
    <m/>
    <s v="Net 45"/>
    <b v="1"/>
    <n v="659"/>
    <n v="614"/>
    <x v="0"/>
    <n v="2494.5300000000002"/>
    <x v="0"/>
    <n v="0"/>
    <n v="2494.5300000000002"/>
  </r>
  <r>
    <s v="AR20475"/>
    <x v="0"/>
    <x v="371"/>
    <d v="2023-05-27T00:00:00"/>
    <n v="3610.15"/>
    <s v="CAD"/>
    <s v="Open"/>
    <m/>
    <s v="Net 45"/>
    <b v="1"/>
    <n v="1022"/>
    <n v="977"/>
    <x v="0"/>
    <n v="3610.15"/>
    <x v="0"/>
    <n v="0"/>
    <n v="3610.15"/>
  </r>
  <r>
    <s v="AR20476"/>
    <x v="0"/>
    <x v="20"/>
    <d v="2024-09-26T00:00:00"/>
    <n v="2501.8000000000002"/>
    <s v="GBP"/>
    <s v="Received"/>
    <d v="2024-09-26T00:00:00"/>
    <s v="Net 45"/>
    <b v="0"/>
    <n v="45"/>
    <n v="0"/>
    <x v="1"/>
    <n v="0"/>
    <x v="2"/>
    <n v="2501.8000000000002"/>
    <n v="0"/>
  </r>
  <r>
    <s v="AR20477"/>
    <x v="3"/>
    <x v="292"/>
    <d v="2024-05-04T00:00:00"/>
    <n v="2866.83"/>
    <s v="USD"/>
    <s v="Open"/>
    <m/>
    <s v="Net 45"/>
    <b v="1"/>
    <n v="679"/>
    <n v="634"/>
    <x v="0"/>
    <n v="2866.83"/>
    <x v="0"/>
    <n v="0"/>
    <n v="2866.83"/>
  </r>
  <r>
    <s v="AR20478"/>
    <x v="4"/>
    <x v="101"/>
    <d v="2023-12-29T00:00:00"/>
    <n v="6939.15"/>
    <s v="CAD"/>
    <s v="Open"/>
    <m/>
    <s v="Net 45"/>
    <b v="1"/>
    <n v="806"/>
    <n v="761"/>
    <x v="0"/>
    <n v="6939.15"/>
    <x v="0"/>
    <n v="0"/>
    <n v="6939.15"/>
  </r>
  <r>
    <s v="AR20479"/>
    <x v="3"/>
    <x v="372"/>
    <d v="2023-03-23T00:00:00"/>
    <n v="2509.56"/>
    <s v="EUR"/>
    <s v="Partial"/>
    <m/>
    <s v="Net 45"/>
    <b v="1"/>
    <n v="1087"/>
    <n v="1042"/>
    <x v="0"/>
    <n v="2509.56"/>
    <x v="0"/>
    <n v="0"/>
    <n v="2509.56"/>
  </r>
  <r>
    <s v="AR20480"/>
    <x v="4"/>
    <x v="366"/>
    <d v="2025-04-21T00:00:00"/>
    <n v="6743.85"/>
    <s v="GBP"/>
    <s v="Received"/>
    <d v="2025-04-21T00:00:00"/>
    <s v="Net 45"/>
    <b v="0"/>
    <n v="45"/>
    <n v="0"/>
    <x v="1"/>
    <n v="0"/>
    <x v="2"/>
    <n v="6743.85"/>
    <n v="0"/>
  </r>
  <r>
    <s v="AR20481"/>
    <x v="4"/>
    <x v="373"/>
    <d v="2023-07-02T00:00:00"/>
    <n v="1370.41"/>
    <s v="EUR"/>
    <s v="Partial"/>
    <m/>
    <s v="Net 45"/>
    <b v="1"/>
    <n v="986"/>
    <n v="941"/>
    <x v="0"/>
    <n v="1370.41"/>
    <x v="0"/>
    <n v="0"/>
    <n v="1370.41"/>
  </r>
  <r>
    <s v="AR20482"/>
    <x v="0"/>
    <x v="203"/>
    <d v="2025-04-05T00:00:00"/>
    <n v="4623.54"/>
    <s v="EUR"/>
    <s v="Open"/>
    <m/>
    <s v="Net 45"/>
    <b v="1"/>
    <n v="343"/>
    <n v="298"/>
    <x v="0"/>
    <n v="4623.54"/>
    <x v="1"/>
    <n v="0"/>
    <n v="4623.54"/>
  </r>
  <r>
    <s v="AR20483"/>
    <x v="4"/>
    <x v="24"/>
    <d v="2023-08-22T00:00:00"/>
    <n v="2675.9"/>
    <s v="AUD"/>
    <s v="Received"/>
    <d v="2023-08-22T00:00:00"/>
    <s v="Net 45"/>
    <b v="0"/>
    <n v="45"/>
    <n v="0"/>
    <x v="1"/>
    <n v="0"/>
    <x v="2"/>
    <n v="2675.9"/>
    <n v="0"/>
  </r>
  <r>
    <s v="AR20484"/>
    <x v="4"/>
    <x v="374"/>
    <d v="2024-03-13T00:00:00"/>
    <n v="7985.15"/>
    <s v="AUD"/>
    <s v="Received"/>
    <d v="2024-03-13T00:00:00"/>
    <s v="Net 45"/>
    <b v="0"/>
    <n v="45"/>
    <n v="0"/>
    <x v="1"/>
    <n v="0"/>
    <x v="2"/>
    <n v="7985.15"/>
    <n v="0"/>
  </r>
  <r>
    <s v="AR20485"/>
    <x v="4"/>
    <x v="375"/>
    <d v="2024-09-18T00:00:00"/>
    <n v="5313.37"/>
    <s v="GBP"/>
    <s v="Open"/>
    <m/>
    <s v="Net 45"/>
    <b v="1"/>
    <n v="542"/>
    <n v="497"/>
    <x v="0"/>
    <n v="5313.37"/>
    <x v="0"/>
    <n v="0"/>
    <n v="5313.37"/>
  </r>
  <r>
    <s v="AR20486"/>
    <x v="4"/>
    <x v="64"/>
    <d v="2023-09-28T00:00:00"/>
    <n v="3408.89"/>
    <s v="GBP"/>
    <s v="Received"/>
    <d v="2023-09-28T00:00:00"/>
    <s v="Net 45"/>
    <b v="0"/>
    <n v="45"/>
    <n v="0"/>
    <x v="1"/>
    <n v="0"/>
    <x v="2"/>
    <n v="3408.89"/>
    <n v="0"/>
  </r>
  <r>
    <s v="AR20487"/>
    <x v="1"/>
    <x v="376"/>
    <d v="2025-06-07T00:00:00"/>
    <n v="5267.1"/>
    <s v="CAD"/>
    <s v="Received"/>
    <d v="2025-06-07T00:00:00"/>
    <s v="Net 45"/>
    <b v="0"/>
    <n v="45"/>
    <n v="0"/>
    <x v="1"/>
    <n v="0"/>
    <x v="2"/>
    <n v="5267.1"/>
    <n v="0"/>
  </r>
  <r>
    <s v="AR20488"/>
    <x v="4"/>
    <x v="38"/>
    <d v="2023-12-15T00:00:00"/>
    <n v="4451.7"/>
    <s v="USD"/>
    <s v="Received"/>
    <d v="2023-12-15T00:00:00"/>
    <s v="Net 45"/>
    <b v="0"/>
    <n v="45"/>
    <n v="0"/>
    <x v="1"/>
    <n v="0"/>
    <x v="2"/>
    <n v="4451.7"/>
    <n v="0"/>
  </r>
  <r>
    <s v="AR20489"/>
    <x v="2"/>
    <x v="377"/>
    <d v="2025-02-09T00:00:00"/>
    <n v="6348.41"/>
    <s v="USD"/>
    <s v="Received"/>
    <d v="2025-02-09T00:00:00"/>
    <s v="Net 45"/>
    <b v="0"/>
    <n v="45"/>
    <n v="0"/>
    <x v="1"/>
    <n v="0"/>
    <x v="2"/>
    <n v="6348.41"/>
    <n v="0"/>
  </r>
  <r>
    <s v="AR20490"/>
    <x v="0"/>
    <x v="253"/>
    <d v="2025-05-04T00:00:00"/>
    <n v="7924.12"/>
    <s v="AUD"/>
    <s v="Received"/>
    <d v="2025-05-04T00:00:00"/>
    <s v="Net 45"/>
    <b v="0"/>
    <n v="45"/>
    <n v="0"/>
    <x v="1"/>
    <n v="0"/>
    <x v="2"/>
    <n v="7924.12"/>
    <n v="0"/>
  </r>
  <r>
    <s v="AR20491"/>
    <x v="2"/>
    <x v="267"/>
    <d v="2023-12-17T00:00:00"/>
    <n v="6434.44"/>
    <s v="AUD"/>
    <s v="Partial"/>
    <m/>
    <s v="Net 45"/>
    <b v="1"/>
    <n v="818"/>
    <n v="773"/>
    <x v="0"/>
    <n v="6434.44"/>
    <x v="0"/>
    <n v="0"/>
    <n v="6434.44"/>
  </r>
  <r>
    <s v="AR20492"/>
    <x v="2"/>
    <x v="378"/>
    <d v="2024-07-29T00:00:00"/>
    <n v="2742.6"/>
    <s v="EUR"/>
    <s v="Partial"/>
    <m/>
    <s v="Net 45"/>
    <b v="1"/>
    <n v="593"/>
    <n v="548"/>
    <x v="0"/>
    <n v="2742.6"/>
    <x v="0"/>
    <n v="0"/>
    <n v="2742.6"/>
  </r>
  <r>
    <s v="AR20493"/>
    <x v="4"/>
    <x v="339"/>
    <d v="2024-12-19T00:00:00"/>
    <n v="2495.48"/>
    <s v="AUD"/>
    <s v="Open"/>
    <m/>
    <s v="Net 45"/>
    <b v="1"/>
    <n v="450"/>
    <n v="405"/>
    <x v="0"/>
    <n v="2495.48"/>
    <x v="0"/>
    <n v="0"/>
    <n v="2495.48"/>
  </r>
  <r>
    <s v="AR20494"/>
    <x v="4"/>
    <x v="266"/>
    <d v="2023-06-28T00:00:00"/>
    <n v="4577.08"/>
    <s v="EUR"/>
    <s v="Received"/>
    <d v="2023-06-28T00:00:00"/>
    <s v="Net 45"/>
    <b v="0"/>
    <n v="45"/>
    <n v="0"/>
    <x v="1"/>
    <n v="0"/>
    <x v="2"/>
    <n v="4577.08"/>
    <n v="0"/>
  </r>
  <r>
    <s v="AR20495"/>
    <x v="1"/>
    <x v="379"/>
    <d v="2023-05-28T00:00:00"/>
    <n v="2137.89"/>
    <s v="AUD"/>
    <s v="Open"/>
    <m/>
    <s v="Net 45"/>
    <b v="1"/>
    <n v="1021"/>
    <n v="976"/>
    <x v="0"/>
    <n v="2137.89"/>
    <x v="0"/>
    <n v="0"/>
    <n v="2137.89"/>
  </r>
  <r>
    <s v="AR20496"/>
    <x v="3"/>
    <x v="246"/>
    <d v="2024-02-21T00:00:00"/>
    <n v="6435.43"/>
    <s v="CAD"/>
    <s v="Partial"/>
    <m/>
    <s v="Net 45"/>
    <b v="1"/>
    <n v="752"/>
    <n v="707"/>
    <x v="0"/>
    <n v="6435.43"/>
    <x v="0"/>
    <n v="0"/>
    <n v="6435.43"/>
  </r>
  <r>
    <s v="AR20497"/>
    <x v="1"/>
    <x v="127"/>
    <d v="2023-11-09T00:00:00"/>
    <n v="1273.69"/>
    <s v="CAD"/>
    <s v="Open"/>
    <m/>
    <s v="Net 45"/>
    <b v="1"/>
    <n v="856"/>
    <n v="811"/>
    <x v="0"/>
    <n v="1273.69"/>
    <x v="0"/>
    <n v="0"/>
    <n v="1273.69"/>
  </r>
  <r>
    <s v="AR20498"/>
    <x v="4"/>
    <x v="380"/>
    <d v="2023-11-23T00:00:00"/>
    <n v="343.33"/>
    <s v="AUD"/>
    <s v="Received"/>
    <d v="2023-11-23T00:00:00"/>
    <s v="Net 45"/>
    <b v="0"/>
    <n v="45"/>
    <n v="0"/>
    <x v="1"/>
    <n v="0"/>
    <x v="2"/>
    <n v="343.33"/>
    <n v="0"/>
  </r>
  <r>
    <s v="AR20499"/>
    <x v="2"/>
    <x v="381"/>
    <d v="2024-06-07T00:00:00"/>
    <n v="5946.46"/>
    <s v="AUD"/>
    <s v="Received"/>
    <d v="2024-06-07T00:00:00"/>
    <s v="Net 45"/>
    <b v="0"/>
    <n v="45"/>
    <n v="0"/>
    <x v="1"/>
    <n v="0"/>
    <x v="2"/>
    <n v="5946.46"/>
    <n v="0"/>
  </r>
  <r>
    <s v="AR20500"/>
    <x v="0"/>
    <x v="382"/>
    <d v="2025-06-20T00:00:00"/>
    <n v="5055.62"/>
    <s v="CAD"/>
    <s v="Partial"/>
    <m/>
    <s v="Net 45"/>
    <b v="1"/>
    <n v="267"/>
    <n v="222"/>
    <x v="0"/>
    <n v="5055.62"/>
    <x v="1"/>
    <n v="0"/>
    <n v="5055.62"/>
  </r>
  <r>
    <s v="AR20501"/>
    <x v="4"/>
    <x v="383"/>
    <d v="2023-09-02T00:00:00"/>
    <n v="1629.61"/>
    <s v="EUR"/>
    <s v="Open"/>
    <m/>
    <s v="Net 45"/>
    <b v="1"/>
    <n v="924"/>
    <n v="879"/>
    <x v="0"/>
    <n v="1629.61"/>
    <x v="0"/>
    <n v="0"/>
    <n v="1629.61"/>
  </r>
  <r>
    <s v="AR20502"/>
    <x v="3"/>
    <x v="154"/>
    <d v="2024-04-17T00:00:00"/>
    <n v="6605.12"/>
    <s v="CAD"/>
    <s v="Partial"/>
    <m/>
    <s v="Net 45"/>
    <b v="1"/>
    <n v="696"/>
    <n v="651"/>
    <x v="0"/>
    <n v="6605.12"/>
    <x v="0"/>
    <n v="0"/>
    <n v="6605.12"/>
  </r>
  <r>
    <s v="AR20503"/>
    <x v="0"/>
    <x v="384"/>
    <d v="2023-10-20T00:00:00"/>
    <n v="2497.34"/>
    <s v="AUD"/>
    <s v="Open"/>
    <m/>
    <s v="Net 45"/>
    <b v="1"/>
    <n v="876"/>
    <n v="831"/>
    <x v="0"/>
    <n v="2497.34"/>
    <x v="0"/>
    <n v="0"/>
    <n v="2497.34"/>
  </r>
  <r>
    <s v="AR20504"/>
    <x v="2"/>
    <x v="163"/>
    <d v="2023-08-29T00:00:00"/>
    <n v="6514.17"/>
    <s v="USD"/>
    <s v="Received"/>
    <d v="2023-08-29T00:00:00"/>
    <s v="Net 45"/>
    <b v="0"/>
    <n v="45"/>
    <n v="0"/>
    <x v="1"/>
    <n v="0"/>
    <x v="2"/>
    <n v="6514.17"/>
    <n v="0"/>
  </r>
  <r>
    <s v="AR20505"/>
    <x v="4"/>
    <x v="385"/>
    <d v="2024-11-13T00:00:00"/>
    <n v="3027.77"/>
    <s v="USD"/>
    <s v="Open"/>
    <m/>
    <s v="Net 45"/>
    <b v="1"/>
    <n v="486"/>
    <n v="441"/>
    <x v="0"/>
    <n v="3027.77"/>
    <x v="0"/>
    <n v="0"/>
    <n v="3027.77"/>
  </r>
  <r>
    <s v="AR20506"/>
    <x v="1"/>
    <x v="212"/>
    <d v="2024-04-04T00:00:00"/>
    <n v="3375.12"/>
    <s v="GBP"/>
    <s v="Received"/>
    <d v="2024-04-04T00:00:00"/>
    <s v="Net 45"/>
    <b v="0"/>
    <n v="45"/>
    <n v="0"/>
    <x v="1"/>
    <n v="0"/>
    <x v="2"/>
    <n v="3375.12"/>
    <n v="0"/>
  </r>
  <r>
    <s v="AR20507"/>
    <x v="1"/>
    <x v="345"/>
    <d v="2023-02-25T00:00:00"/>
    <n v="7102.62"/>
    <s v="GBP"/>
    <s v="Open"/>
    <m/>
    <s v="Net 45"/>
    <b v="1"/>
    <n v="1113"/>
    <n v="1068"/>
    <x v="0"/>
    <n v="7102.62"/>
    <x v="0"/>
    <n v="0"/>
    <n v="7102.62"/>
  </r>
  <r>
    <s v="AR20508"/>
    <x v="2"/>
    <x v="386"/>
    <d v="2024-08-31T00:00:00"/>
    <n v="5929.86"/>
    <s v="USD"/>
    <s v="Open"/>
    <m/>
    <s v="Net 45"/>
    <b v="1"/>
    <n v="560"/>
    <n v="515"/>
    <x v="0"/>
    <n v="5929.86"/>
    <x v="0"/>
    <n v="0"/>
    <n v="5929.86"/>
  </r>
  <r>
    <s v="AR20509"/>
    <x v="0"/>
    <x v="387"/>
    <d v="2023-03-13T00:00:00"/>
    <n v="6424.1"/>
    <s v="GBP"/>
    <s v="Partial"/>
    <m/>
    <s v="Net 45"/>
    <b v="1"/>
    <n v="1097"/>
    <n v="1052"/>
    <x v="0"/>
    <n v="6424.1"/>
    <x v="0"/>
    <n v="0"/>
    <n v="6424.1"/>
  </r>
  <r>
    <s v="AR20510"/>
    <x v="2"/>
    <x v="388"/>
    <d v="2024-10-15T00:00:00"/>
    <n v="4923.67"/>
    <s v="AUD"/>
    <s v="Open"/>
    <m/>
    <s v="Net 45"/>
    <b v="1"/>
    <n v="515"/>
    <n v="470"/>
    <x v="0"/>
    <n v="4923.67"/>
    <x v="0"/>
    <n v="0"/>
    <n v="4923.67"/>
  </r>
  <r>
    <s v="AR20511"/>
    <x v="0"/>
    <x v="249"/>
    <d v="2025-03-16T00:00:00"/>
    <n v="2084.73"/>
    <s v="AUD"/>
    <s v="Received"/>
    <d v="2025-03-16T00:00:00"/>
    <s v="Net 45"/>
    <b v="0"/>
    <n v="45"/>
    <n v="0"/>
    <x v="1"/>
    <n v="0"/>
    <x v="2"/>
    <n v="2084.73"/>
    <n v="0"/>
  </r>
  <r>
    <s v="AR20512"/>
    <x v="0"/>
    <x v="208"/>
    <d v="2025-03-30T00:00:00"/>
    <n v="6136.43"/>
    <s v="CAD"/>
    <s v="Open"/>
    <m/>
    <s v="Net 45"/>
    <b v="1"/>
    <n v="349"/>
    <n v="304"/>
    <x v="0"/>
    <n v="6136.43"/>
    <x v="1"/>
    <n v="0"/>
    <n v="6136.43"/>
  </r>
  <r>
    <s v="AR20513"/>
    <x v="2"/>
    <x v="257"/>
    <d v="2023-04-02T00:00:00"/>
    <n v="3787.59"/>
    <s v="AUD"/>
    <s v="Received"/>
    <d v="2023-04-02T00:00:00"/>
    <s v="Net 45"/>
    <b v="0"/>
    <n v="45"/>
    <n v="0"/>
    <x v="1"/>
    <n v="0"/>
    <x v="2"/>
    <n v="3787.59"/>
    <n v="0"/>
  </r>
  <r>
    <s v="AR20514"/>
    <x v="0"/>
    <x v="127"/>
    <d v="2023-11-09T00:00:00"/>
    <n v="6215.44"/>
    <s v="CAD"/>
    <s v="Open"/>
    <m/>
    <s v="Net 45"/>
    <b v="1"/>
    <n v="856"/>
    <n v="811"/>
    <x v="0"/>
    <n v="6215.44"/>
    <x v="0"/>
    <n v="0"/>
    <n v="6215.44"/>
  </r>
  <r>
    <s v="AR20515"/>
    <x v="3"/>
    <x v="303"/>
    <d v="2023-03-05T00:00:00"/>
    <n v="2857.74"/>
    <s v="GBP"/>
    <s v="Partial"/>
    <m/>
    <s v="Net 45"/>
    <b v="1"/>
    <n v="1105"/>
    <n v="1060"/>
    <x v="0"/>
    <n v="2857.74"/>
    <x v="0"/>
    <n v="0"/>
    <n v="2857.74"/>
  </r>
  <r>
    <s v="AR20516"/>
    <x v="2"/>
    <x v="97"/>
    <d v="2024-05-08T00:00:00"/>
    <n v="4322.01"/>
    <s v="CAD"/>
    <s v="Partial"/>
    <m/>
    <s v="Net 45"/>
    <b v="1"/>
    <n v="675"/>
    <n v="630"/>
    <x v="0"/>
    <n v="4322.01"/>
    <x v="0"/>
    <n v="0"/>
    <n v="4322.01"/>
  </r>
  <r>
    <s v="AR20517"/>
    <x v="0"/>
    <x v="389"/>
    <d v="2025-04-11T00:00:00"/>
    <n v="7905.09"/>
    <s v="CAD"/>
    <s v="Open"/>
    <m/>
    <s v="Net 45"/>
    <b v="1"/>
    <n v="337"/>
    <n v="292"/>
    <x v="0"/>
    <n v="7905.09"/>
    <x v="1"/>
    <n v="0"/>
    <n v="7905.09"/>
  </r>
  <r>
    <s v="AR20518"/>
    <x v="1"/>
    <x v="390"/>
    <d v="2024-04-13T00:00:00"/>
    <n v="743.1"/>
    <s v="CAD"/>
    <s v="Partial"/>
    <m/>
    <s v="Net 45"/>
    <b v="1"/>
    <n v="700"/>
    <n v="655"/>
    <x v="0"/>
    <n v="743.1"/>
    <x v="0"/>
    <n v="0"/>
    <n v="743.1"/>
  </r>
  <r>
    <s v="AR20519"/>
    <x v="4"/>
    <x v="391"/>
    <d v="2024-02-20T00:00:00"/>
    <n v="6727.1"/>
    <s v="EUR"/>
    <s v="Partial"/>
    <m/>
    <s v="Net 45"/>
    <b v="1"/>
    <n v="753"/>
    <n v="708"/>
    <x v="0"/>
    <n v="6727.1"/>
    <x v="0"/>
    <n v="0"/>
    <n v="6727.1"/>
  </r>
  <r>
    <s v="AR20520"/>
    <x v="2"/>
    <x v="392"/>
    <d v="2025-07-19T00:00:00"/>
    <n v="917.97"/>
    <s v="AUD"/>
    <s v="Open"/>
    <m/>
    <s v="Net 45"/>
    <b v="1"/>
    <n v="238"/>
    <n v="193"/>
    <x v="0"/>
    <n v="917.97"/>
    <x v="1"/>
    <n v="0"/>
    <n v="917.97"/>
  </r>
  <r>
    <s v="AR20521"/>
    <x v="0"/>
    <x v="393"/>
    <d v="2024-09-30T00:00:00"/>
    <n v="1299.6199999999999"/>
    <s v="CAD"/>
    <s v="Partial"/>
    <m/>
    <s v="Net 45"/>
    <b v="1"/>
    <n v="530"/>
    <n v="485"/>
    <x v="0"/>
    <n v="1299.6199999999999"/>
    <x v="0"/>
    <n v="0"/>
    <n v="1299.6199999999999"/>
  </r>
  <r>
    <s v="AR20522"/>
    <x v="2"/>
    <x v="232"/>
    <d v="2024-04-01T00:00:00"/>
    <n v="2593.81"/>
    <s v="AUD"/>
    <s v="Partial"/>
    <m/>
    <s v="Net 45"/>
    <b v="1"/>
    <n v="712"/>
    <n v="667"/>
    <x v="0"/>
    <n v="2593.81"/>
    <x v="0"/>
    <n v="0"/>
    <n v="2593.81"/>
  </r>
  <r>
    <s v="AR20523"/>
    <x v="1"/>
    <x v="394"/>
    <d v="2025-04-13T00:00:00"/>
    <n v="5910.9"/>
    <s v="GBP"/>
    <s v="Partial"/>
    <m/>
    <s v="Net 45"/>
    <b v="1"/>
    <n v="335"/>
    <n v="290"/>
    <x v="0"/>
    <n v="5910.9"/>
    <x v="1"/>
    <n v="0"/>
    <n v="5910.9"/>
  </r>
  <r>
    <s v="AR20524"/>
    <x v="0"/>
    <x v="9"/>
    <d v="2024-01-25T00:00:00"/>
    <n v="4375.05"/>
    <s v="CAD"/>
    <s v="Open"/>
    <m/>
    <s v="Net 45"/>
    <b v="1"/>
    <n v="779"/>
    <n v="734"/>
    <x v="0"/>
    <n v="4375.05"/>
    <x v="0"/>
    <n v="0"/>
    <n v="4375.05"/>
  </r>
  <r>
    <s v="AR20525"/>
    <x v="3"/>
    <x v="395"/>
    <d v="2023-11-18T00:00:00"/>
    <n v="5454.31"/>
    <s v="AUD"/>
    <s v="Open"/>
    <m/>
    <s v="Net 45"/>
    <b v="1"/>
    <n v="847"/>
    <n v="802"/>
    <x v="0"/>
    <n v="5454.31"/>
    <x v="0"/>
    <n v="0"/>
    <n v="5454.31"/>
  </r>
  <r>
    <s v="AR20526"/>
    <x v="4"/>
    <x v="396"/>
    <d v="2023-07-05T00:00:00"/>
    <n v="7779.62"/>
    <s v="AUD"/>
    <s v="Partial"/>
    <m/>
    <s v="Net 45"/>
    <b v="1"/>
    <n v="983"/>
    <n v="938"/>
    <x v="0"/>
    <n v="7779.62"/>
    <x v="0"/>
    <n v="0"/>
    <n v="7779.62"/>
  </r>
  <r>
    <s v="AR20527"/>
    <x v="4"/>
    <x v="275"/>
    <d v="2025-02-02T00:00:00"/>
    <n v="6732.24"/>
    <s v="EUR"/>
    <s v="Received"/>
    <d v="2025-02-02T00:00:00"/>
    <s v="Net 45"/>
    <b v="0"/>
    <n v="45"/>
    <n v="0"/>
    <x v="1"/>
    <n v="0"/>
    <x v="2"/>
    <n v="6732.24"/>
    <n v="0"/>
  </r>
  <r>
    <s v="AR20528"/>
    <x v="1"/>
    <x v="218"/>
    <d v="2024-01-05T00:00:00"/>
    <n v="6285.37"/>
    <s v="AUD"/>
    <s v="Partial"/>
    <m/>
    <s v="Net 45"/>
    <b v="1"/>
    <n v="799"/>
    <n v="754"/>
    <x v="0"/>
    <n v="6285.37"/>
    <x v="0"/>
    <n v="0"/>
    <n v="6285.37"/>
  </r>
  <r>
    <s v="AR20529"/>
    <x v="1"/>
    <x v="397"/>
    <d v="2024-07-30T00:00:00"/>
    <n v="6675.34"/>
    <s v="AUD"/>
    <s v="Partial"/>
    <m/>
    <s v="Net 45"/>
    <b v="1"/>
    <n v="592"/>
    <n v="547"/>
    <x v="0"/>
    <n v="6675.34"/>
    <x v="0"/>
    <n v="0"/>
    <n v="6675.34"/>
  </r>
  <r>
    <s v="AR20530"/>
    <x v="3"/>
    <x v="177"/>
    <d v="2023-12-20T00:00:00"/>
    <n v="7318.39"/>
    <s v="USD"/>
    <s v="Received"/>
    <d v="2023-12-20T00:00:00"/>
    <s v="Net 45"/>
    <b v="0"/>
    <n v="45"/>
    <n v="0"/>
    <x v="1"/>
    <n v="0"/>
    <x v="2"/>
    <n v="7318.39"/>
    <n v="0"/>
  </r>
  <r>
    <s v="AR20531"/>
    <x v="3"/>
    <x v="34"/>
    <d v="2025-05-08T00:00:00"/>
    <n v="5457.96"/>
    <s v="CAD"/>
    <s v="Received"/>
    <d v="2025-05-08T00:00:00"/>
    <s v="Net 45"/>
    <b v="0"/>
    <n v="45"/>
    <n v="0"/>
    <x v="1"/>
    <n v="0"/>
    <x v="2"/>
    <n v="5457.96"/>
    <n v="0"/>
  </r>
  <r>
    <s v="AR20532"/>
    <x v="3"/>
    <x v="398"/>
    <d v="2023-10-28T00:00:00"/>
    <n v="637.74"/>
    <s v="USD"/>
    <s v="Received"/>
    <d v="2023-10-28T00:00:00"/>
    <s v="Net 45"/>
    <b v="0"/>
    <n v="45"/>
    <n v="0"/>
    <x v="1"/>
    <n v="0"/>
    <x v="2"/>
    <n v="637.74"/>
    <n v="0"/>
  </r>
  <r>
    <s v="AR20533"/>
    <x v="2"/>
    <x v="399"/>
    <d v="2025-06-26T00:00:00"/>
    <n v="3320.12"/>
    <s v="EUR"/>
    <s v="Open"/>
    <m/>
    <s v="Net 45"/>
    <b v="1"/>
    <n v="261"/>
    <n v="216"/>
    <x v="0"/>
    <n v="3320.12"/>
    <x v="1"/>
    <n v="0"/>
    <n v="3320.12"/>
  </r>
  <r>
    <s v="AR20534"/>
    <x v="2"/>
    <x v="400"/>
    <d v="2023-08-10T00:00:00"/>
    <n v="3567.1"/>
    <s v="EUR"/>
    <s v="Open"/>
    <m/>
    <s v="Net 45"/>
    <b v="1"/>
    <n v="947"/>
    <n v="902"/>
    <x v="0"/>
    <n v="3567.1"/>
    <x v="0"/>
    <n v="0"/>
    <n v="3567.1"/>
  </r>
  <r>
    <s v="AR20535"/>
    <x v="4"/>
    <x v="12"/>
    <d v="2024-08-07T00:00:00"/>
    <n v="1514.1"/>
    <s v="CAD"/>
    <s v="Partial"/>
    <m/>
    <s v="Net 45"/>
    <b v="1"/>
    <n v="584"/>
    <n v="539"/>
    <x v="0"/>
    <n v="1514.1"/>
    <x v="0"/>
    <n v="0"/>
    <n v="1514.1"/>
  </r>
  <r>
    <s v="AR20536"/>
    <x v="1"/>
    <x v="401"/>
    <d v="2024-09-04T00:00:00"/>
    <n v="5234.6000000000004"/>
    <s v="USD"/>
    <s v="Partial"/>
    <m/>
    <s v="Net 45"/>
    <b v="1"/>
    <n v="556"/>
    <n v="511"/>
    <x v="0"/>
    <n v="5234.6000000000004"/>
    <x v="0"/>
    <n v="0"/>
    <n v="5234.6000000000004"/>
  </r>
  <r>
    <s v="AR20537"/>
    <x v="3"/>
    <x v="94"/>
    <d v="2024-01-27T00:00:00"/>
    <n v="3441.63"/>
    <s v="USD"/>
    <s v="Open"/>
    <m/>
    <s v="Net 45"/>
    <b v="1"/>
    <n v="777"/>
    <n v="732"/>
    <x v="0"/>
    <n v="3441.63"/>
    <x v="0"/>
    <n v="0"/>
    <n v="3441.63"/>
  </r>
  <r>
    <s v="AR20538"/>
    <x v="0"/>
    <x v="402"/>
    <d v="2023-12-05T00:00:00"/>
    <n v="6507.19"/>
    <s v="CAD"/>
    <s v="Open"/>
    <m/>
    <s v="Net 45"/>
    <b v="1"/>
    <n v="830"/>
    <n v="785"/>
    <x v="0"/>
    <n v="6507.19"/>
    <x v="0"/>
    <n v="0"/>
    <n v="6507.19"/>
  </r>
  <r>
    <s v="AR20539"/>
    <x v="2"/>
    <x v="403"/>
    <d v="2025-04-17T00:00:00"/>
    <n v="3028.92"/>
    <s v="GBP"/>
    <s v="Open"/>
    <m/>
    <s v="Net 45"/>
    <b v="1"/>
    <n v="331"/>
    <n v="286"/>
    <x v="0"/>
    <n v="3028.92"/>
    <x v="1"/>
    <n v="0"/>
    <n v="3028.92"/>
  </r>
  <r>
    <s v="AR20540"/>
    <x v="4"/>
    <x v="226"/>
    <d v="2023-10-27T00:00:00"/>
    <n v="3580.15"/>
    <s v="AUD"/>
    <s v="Received"/>
    <d v="2023-10-27T00:00:00"/>
    <s v="Net 45"/>
    <b v="0"/>
    <n v="45"/>
    <n v="0"/>
    <x v="1"/>
    <n v="0"/>
    <x v="2"/>
    <n v="3580.15"/>
    <n v="0"/>
  </r>
  <r>
    <s v="AR20541"/>
    <x v="4"/>
    <x v="170"/>
    <d v="2025-04-26T00:00:00"/>
    <n v="6618.18"/>
    <s v="EUR"/>
    <s v="Partial"/>
    <m/>
    <s v="Net 45"/>
    <b v="1"/>
    <n v="322"/>
    <n v="277"/>
    <x v="0"/>
    <n v="6618.18"/>
    <x v="1"/>
    <n v="0"/>
    <n v="6618.18"/>
  </r>
  <r>
    <s v="AR20542"/>
    <x v="2"/>
    <x v="404"/>
    <d v="2024-04-15T00:00:00"/>
    <n v="289.27999999999997"/>
    <s v="AUD"/>
    <s v="Partial"/>
    <m/>
    <s v="Net 45"/>
    <b v="1"/>
    <n v="698"/>
    <n v="653"/>
    <x v="0"/>
    <n v="289.27999999999997"/>
    <x v="0"/>
    <n v="0"/>
    <n v="289.27999999999997"/>
  </r>
  <r>
    <s v="AR20543"/>
    <x v="1"/>
    <x v="61"/>
    <d v="2025-05-27T00:00:00"/>
    <n v="5116.57"/>
    <s v="CAD"/>
    <s v="Partial"/>
    <m/>
    <s v="Net 45"/>
    <b v="1"/>
    <n v="291"/>
    <n v="246"/>
    <x v="0"/>
    <n v="5116.57"/>
    <x v="1"/>
    <n v="0"/>
    <n v="5116.57"/>
  </r>
  <r>
    <s v="AR20544"/>
    <x v="4"/>
    <x v="225"/>
    <d v="2024-11-24T00:00:00"/>
    <n v="3349.7"/>
    <s v="GBP"/>
    <s v="Received"/>
    <d v="2024-11-24T00:00:00"/>
    <s v="Net 45"/>
    <b v="0"/>
    <n v="45"/>
    <n v="0"/>
    <x v="1"/>
    <n v="0"/>
    <x v="2"/>
    <n v="3349.7"/>
    <n v="0"/>
  </r>
  <r>
    <s v="AR20545"/>
    <x v="0"/>
    <x v="405"/>
    <d v="2024-09-06T00:00:00"/>
    <n v="2650.37"/>
    <s v="GBP"/>
    <s v="Partial"/>
    <m/>
    <s v="Net 45"/>
    <b v="1"/>
    <n v="554"/>
    <n v="509"/>
    <x v="0"/>
    <n v="2650.37"/>
    <x v="0"/>
    <n v="0"/>
    <n v="2650.37"/>
  </r>
  <r>
    <s v="AR20546"/>
    <x v="4"/>
    <x v="406"/>
    <d v="2025-06-06T00:00:00"/>
    <n v="4369.96"/>
    <s v="CAD"/>
    <s v="Open"/>
    <m/>
    <s v="Net 45"/>
    <b v="1"/>
    <n v="281"/>
    <n v="236"/>
    <x v="0"/>
    <n v="4369.96"/>
    <x v="1"/>
    <n v="0"/>
    <n v="4369.96"/>
  </r>
  <r>
    <s v="AR20547"/>
    <x v="2"/>
    <x v="407"/>
    <d v="2025-05-17T00:00:00"/>
    <n v="436.3"/>
    <s v="CAD"/>
    <s v="Partial"/>
    <m/>
    <s v="Net 45"/>
    <b v="1"/>
    <n v="301"/>
    <n v="256"/>
    <x v="0"/>
    <n v="436.3"/>
    <x v="1"/>
    <n v="0"/>
    <n v="436.3"/>
  </r>
  <r>
    <s v="AR20548"/>
    <x v="0"/>
    <x v="189"/>
    <d v="2024-03-02T00:00:00"/>
    <n v="2188.6999999999998"/>
    <s v="AUD"/>
    <s v="Partial"/>
    <m/>
    <s v="Net 45"/>
    <b v="1"/>
    <n v="742"/>
    <n v="697"/>
    <x v="0"/>
    <n v="2188.6999999999998"/>
    <x v="0"/>
    <n v="0"/>
    <n v="2188.6999999999998"/>
  </r>
  <r>
    <s v="AR20549"/>
    <x v="4"/>
    <x v="340"/>
    <d v="2024-04-25T00:00:00"/>
    <n v="5461.99"/>
    <s v="USD"/>
    <s v="Received"/>
    <d v="2024-04-25T00:00:00"/>
    <s v="Net 45"/>
    <b v="0"/>
    <n v="45"/>
    <n v="0"/>
    <x v="1"/>
    <n v="0"/>
    <x v="2"/>
    <n v="5461.99"/>
    <n v="0"/>
  </r>
  <r>
    <s v="AR20550"/>
    <x v="4"/>
    <x v="408"/>
    <d v="2023-09-20T00:00:00"/>
    <n v="4212.33"/>
    <s v="GBP"/>
    <s v="Partial"/>
    <m/>
    <s v="Net 45"/>
    <b v="1"/>
    <n v="906"/>
    <n v="861"/>
    <x v="0"/>
    <n v="4212.33"/>
    <x v="0"/>
    <n v="0"/>
    <n v="4212.33"/>
  </r>
  <r>
    <s v="AR20551"/>
    <x v="3"/>
    <x v="139"/>
    <d v="2024-11-28T00:00:00"/>
    <n v="5357.53"/>
    <s v="USD"/>
    <s v="Open"/>
    <m/>
    <s v="Net 45"/>
    <b v="1"/>
    <n v="471"/>
    <n v="426"/>
    <x v="0"/>
    <n v="5357.53"/>
    <x v="0"/>
    <n v="0"/>
    <n v="5357.53"/>
  </r>
  <r>
    <s v="AR20552"/>
    <x v="4"/>
    <x v="108"/>
    <d v="2024-06-06T00:00:00"/>
    <n v="3853.52"/>
    <s v="GBP"/>
    <s v="Open"/>
    <m/>
    <s v="Net 45"/>
    <b v="1"/>
    <n v="646"/>
    <n v="601"/>
    <x v="0"/>
    <n v="3853.52"/>
    <x v="0"/>
    <n v="0"/>
    <n v="3853.52"/>
  </r>
  <r>
    <s v="AR20553"/>
    <x v="3"/>
    <x v="409"/>
    <d v="2023-04-20T00:00:00"/>
    <n v="3722.35"/>
    <s v="AUD"/>
    <s v="Received"/>
    <d v="2023-04-20T00:00:00"/>
    <s v="Net 45"/>
    <b v="0"/>
    <n v="45"/>
    <n v="0"/>
    <x v="1"/>
    <n v="0"/>
    <x v="2"/>
    <n v="3722.35"/>
    <n v="0"/>
  </r>
  <r>
    <s v="AR20554"/>
    <x v="0"/>
    <x v="410"/>
    <d v="2023-04-25T00:00:00"/>
    <n v="6667.79"/>
    <s v="CAD"/>
    <s v="Open"/>
    <m/>
    <s v="Net 45"/>
    <b v="1"/>
    <n v="1054"/>
    <n v="1009"/>
    <x v="0"/>
    <n v="6667.79"/>
    <x v="0"/>
    <n v="0"/>
    <n v="6667.79"/>
  </r>
  <r>
    <s v="AR20555"/>
    <x v="4"/>
    <x v="9"/>
    <d v="2024-01-25T00:00:00"/>
    <n v="939.96"/>
    <s v="AUD"/>
    <s v="Received"/>
    <d v="2024-01-25T00:00:00"/>
    <s v="Net 45"/>
    <b v="0"/>
    <n v="45"/>
    <n v="0"/>
    <x v="1"/>
    <n v="0"/>
    <x v="2"/>
    <n v="939.96"/>
    <n v="0"/>
  </r>
  <r>
    <s v="AR20556"/>
    <x v="1"/>
    <x v="42"/>
    <d v="2023-12-12T00:00:00"/>
    <n v="3429.97"/>
    <s v="EUR"/>
    <s v="Partial"/>
    <m/>
    <s v="Net 45"/>
    <b v="1"/>
    <n v="823"/>
    <n v="778"/>
    <x v="0"/>
    <n v="3429.97"/>
    <x v="0"/>
    <n v="0"/>
    <n v="3429.97"/>
  </r>
  <r>
    <s v="AR20557"/>
    <x v="2"/>
    <x v="411"/>
    <d v="2025-07-16T00:00:00"/>
    <n v="2696.48"/>
    <s v="AUD"/>
    <s v="Partial"/>
    <m/>
    <s v="Net 45"/>
    <b v="1"/>
    <n v="241"/>
    <n v="196"/>
    <x v="0"/>
    <n v="2696.48"/>
    <x v="1"/>
    <n v="0"/>
    <n v="2696.48"/>
  </r>
  <r>
    <s v="AR20558"/>
    <x v="4"/>
    <x v="412"/>
    <d v="2023-11-02T00:00:00"/>
    <n v="2767.09"/>
    <s v="GBP"/>
    <s v="Open"/>
    <m/>
    <s v="Net 45"/>
    <b v="1"/>
    <n v="863"/>
    <n v="818"/>
    <x v="0"/>
    <n v="2767.09"/>
    <x v="0"/>
    <n v="0"/>
    <n v="2767.09"/>
  </r>
  <r>
    <s v="AR20559"/>
    <x v="4"/>
    <x v="186"/>
    <d v="2023-06-06T00:00:00"/>
    <n v="7836.25"/>
    <s v="CAD"/>
    <s v="Received"/>
    <d v="2023-06-06T00:00:00"/>
    <s v="Net 45"/>
    <b v="0"/>
    <n v="45"/>
    <n v="0"/>
    <x v="1"/>
    <n v="0"/>
    <x v="2"/>
    <n v="7836.25"/>
    <n v="0"/>
  </r>
  <r>
    <s v="AR20560"/>
    <x v="2"/>
    <x v="342"/>
    <d v="2023-10-23T00:00:00"/>
    <n v="2776.14"/>
    <s v="EUR"/>
    <s v="Partial"/>
    <m/>
    <s v="Net 45"/>
    <b v="1"/>
    <n v="873"/>
    <n v="828"/>
    <x v="0"/>
    <n v="2776.14"/>
    <x v="0"/>
    <n v="0"/>
    <n v="2776.14"/>
  </r>
  <r>
    <s v="AR20561"/>
    <x v="2"/>
    <x v="126"/>
    <d v="2023-11-12T00:00:00"/>
    <n v="4256.9399999999996"/>
    <s v="GBP"/>
    <s v="Open"/>
    <m/>
    <s v="Net 45"/>
    <b v="1"/>
    <n v="853"/>
    <n v="808"/>
    <x v="0"/>
    <n v="4256.9399999999996"/>
    <x v="0"/>
    <n v="0"/>
    <n v="4256.9399999999996"/>
  </r>
  <r>
    <s v="AR20562"/>
    <x v="3"/>
    <x v="413"/>
    <d v="2023-04-09T00:00:00"/>
    <n v="7675.1"/>
    <s v="EUR"/>
    <s v="Partial"/>
    <m/>
    <s v="Net 45"/>
    <b v="1"/>
    <n v="1070"/>
    <n v="1025"/>
    <x v="0"/>
    <n v="7675.1"/>
    <x v="0"/>
    <n v="0"/>
    <n v="7675.1"/>
  </r>
  <r>
    <s v="AR20563"/>
    <x v="2"/>
    <x v="216"/>
    <d v="2024-03-18T00:00:00"/>
    <n v="1561.55"/>
    <s v="CAD"/>
    <s v="Partial"/>
    <m/>
    <s v="Net 45"/>
    <b v="1"/>
    <n v="726"/>
    <n v="681"/>
    <x v="0"/>
    <n v="1561.55"/>
    <x v="0"/>
    <n v="0"/>
    <n v="1561.55"/>
  </r>
  <r>
    <s v="AR20564"/>
    <x v="2"/>
    <x v="177"/>
    <d v="2023-12-20T00:00:00"/>
    <n v="3208.62"/>
    <s v="AUD"/>
    <s v="Received"/>
    <d v="2023-12-20T00:00:00"/>
    <s v="Net 45"/>
    <b v="0"/>
    <n v="45"/>
    <n v="0"/>
    <x v="1"/>
    <n v="0"/>
    <x v="2"/>
    <n v="3208.62"/>
    <n v="0"/>
  </r>
  <r>
    <s v="AR20565"/>
    <x v="0"/>
    <x v="414"/>
    <d v="2025-07-27T00:00:00"/>
    <n v="5171.99"/>
    <s v="GBP"/>
    <s v="Partial"/>
    <m/>
    <s v="Net 45"/>
    <b v="1"/>
    <n v="230"/>
    <n v="185"/>
    <x v="0"/>
    <n v="5171.99"/>
    <x v="1"/>
    <n v="0"/>
    <n v="5171.99"/>
  </r>
  <r>
    <s v="AR20566"/>
    <x v="1"/>
    <x v="415"/>
    <d v="2024-12-10T00:00:00"/>
    <n v="6132.23"/>
    <s v="CAD"/>
    <s v="Open"/>
    <m/>
    <s v="Net 45"/>
    <b v="1"/>
    <n v="459"/>
    <n v="414"/>
    <x v="0"/>
    <n v="6132.23"/>
    <x v="0"/>
    <n v="0"/>
    <n v="6132.23"/>
  </r>
  <r>
    <s v="AR20567"/>
    <x v="4"/>
    <x v="416"/>
    <d v="2023-08-21T00:00:00"/>
    <n v="5228.9399999999996"/>
    <s v="USD"/>
    <s v="Partial"/>
    <m/>
    <s v="Net 45"/>
    <b v="1"/>
    <n v="936"/>
    <n v="891"/>
    <x v="0"/>
    <n v="5228.9399999999996"/>
    <x v="0"/>
    <n v="0"/>
    <n v="5228.9399999999996"/>
  </r>
  <r>
    <s v="AR20568"/>
    <x v="1"/>
    <x v="417"/>
    <d v="2024-07-22T00:00:00"/>
    <n v="2406.41"/>
    <s v="USD"/>
    <s v="Open"/>
    <m/>
    <s v="Net 45"/>
    <b v="1"/>
    <n v="600"/>
    <n v="555"/>
    <x v="0"/>
    <n v="2406.41"/>
    <x v="0"/>
    <n v="0"/>
    <n v="2406.41"/>
  </r>
  <r>
    <s v="AR20569"/>
    <x v="2"/>
    <x v="105"/>
    <d v="2024-04-21T00:00:00"/>
    <n v="7118.9"/>
    <s v="EUR"/>
    <s v="Partial"/>
    <m/>
    <s v="Net 45"/>
    <b v="1"/>
    <n v="692"/>
    <n v="647"/>
    <x v="0"/>
    <n v="7118.9"/>
    <x v="0"/>
    <n v="0"/>
    <n v="7118.9"/>
  </r>
  <r>
    <s v="AR20570"/>
    <x v="0"/>
    <x v="418"/>
    <d v="2025-08-12T00:00:00"/>
    <n v="2548.35"/>
    <s v="CAD"/>
    <s v="Open"/>
    <m/>
    <s v="Net 45"/>
    <b v="1"/>
    <n v="214"/>
    <n v="169"/>
    <x v="0"/>
    <n v="2548.35"/>
    <x v="3"/>
    <n v="0"/>
    <n v="2548.35"/>
  </r>
  <r>
    <s v="AR20571"/>
    <x v="3"/>
    <x v="419"/>
    <d v="2024-08-19T00:00:00"/>
    <n v="5346.99"/>
    <s v="GBP"/>
    <s v="Partial"/>
    <m/>
    <s v="Net 45"/>
    <b v="1"/>
    <n v="572"/>
    <n v="527"/>
    <x v="0"/>
    <n v="5346.99"/>
    <x v="0"/>
    <n v="0"/>
    <n v="5346.99"/>
  </r>
  <r>
    <s v="AR20572"/>
    <x v="4"/>
    <x v="245"/>
    <d v="2024-05-18T00:00:00"/>
    <n v="2614.7199999999998"/>
    <s v="USD"/>
    <s v="Received"/>
    <d v="2024-05-18T00:00:00"/>
    <s v="Net 45"/>
    <b v="0"/>
    <n v="45"/>
    <n v="0"/>
    <x v="1"/>
    <n v="0"/>
    <x v="2"/>
    <n v="2614.7199999999998"/>
    <n v="0"/>
  </r>
  <r>
    <s v="AR20573"/>
    <x v="0"/>
    <x v="420"/>
    <d v="2024-04-11T00:00:00"/>
    <n v="332.76"/>
    <s v="CAD"/>
    <s v="Partial"/>
    <m/>
    <s v="Net 45"/>
    <b v="1"/>
    <n v="702"/>
    <n v="657"/>
    <x v="0"/>
    <n v="332.76"/>
    <x v="0"/>
    <n v="0"/>
    <n v="332.76"/>
  </r>
  <r>
    <s v="AR20574"/>
    <x v="0"/>
    <x v="337"/>
    <d v="2024-04-27T00:00:00"/>
    <n v="2362.15"/>
    <s v="USD"/>
    <s v="Received"/>
    <d v="2024-04-27T00:00:00"/>
    <s v="Net 45"/>
    <b v="0"/>
    <n v="45"/>
    <n v="0"/>
    <x v="1"/>
    <n v="0"/>
    <x v="2"/>
    <n v="2362.15"/>
    <n v="0"/>
  </r>
  <r>
    <s v="AR20575"/>
    <x v="2"/>
    <x v="421"/>
    <d v="2023-07-07T00:00:00"/>
    <n v="4512.25"/>
    <s v="AUD"/>
    <s v="Received"/>
    <d v="2023-07-07T00:00:00"/>
    <s v="Net 45"/>
    <b v="0"/>
    <n v="45"/>
    <n v="0"/>
    <x v="1"/>
    <n v="0"/>
    <x v="2"/>
    <n v="4512.25"/>
    <n v="0"/>
  </r>
  <r>
    <s v="AR20576"/>
    <x v="2"/>
    <x v="422"/>
    <d v="2024-08-01T00:00:00"/>
    <n v="5745.66"/>
    <s v="AUD"/>
    <s v="Received"/>
    <d v="2024-08-01T00:00:00"/>
    <s v="Net 45"/>
    <b v="0"/>
    <n v="45"/>
    <n v="0"/>
    <x v="1"/>
    <n v="0"/>
    <x v="2"/>
    <n v="5745.66"/>
    <n v="0"/>
  </r>
  <r>
    <s v="AR20577"/>
    <x v="0"/>
    <x v="423"/>
    <d v="2025-03-21T00:00:00"/>
    <n v="1607"/>
    <s v="USD"/>
    <s v="Open"/>
    <m/>
    <s v="Net 45"/>
    <b v="1"/>
    <n v="358"/>
    <n v="313"/>
    <x v="0"/>
    <n v="1607"/>
    <x v="1"/>
    <n v="0"/>
    <n v="1607"/>
  </r>
  <r>
    <s v="AR20578"/>
    <x v="1"/>
    <x v="424"/>
    <d v="2025-07-13T00:00:00"/>
    <n v="7427.79"/>
    <s v="GBP"/>
    <s v="Received"/>
    <d v="2025-07-13T00:00:00"/>
    <s v="Net 45"/>
    <b v="0"/>
    <n v="45"/>
    <n v="0"/>
    <x v="1"/>
    <n v="0"/>
    <x v="2"/>
    <n v="7427.79"/>
    <n v="0"/>
  </r>
  <r>
    <s v="AR20579"/>
    <x v="4"/>
    <x v="355"/>
    <d v="2024-02-13T00:00:00"/>
    <n v="6670.94"/>
    <s v="AUD"/>
    <s v="Received"/>
    <d v="2024-02-13T00:00:00"/>
    <s v="Net 45"/>
    <b v="0"/>
    <n v="45"/>
    <n v="0"/>
    <x v="1"/>
    <n v="0"/>
    <x v="2"/>
    <n v="6670.94"/>
    <n v="0"/>
  </r>
  <r>
    <s v="AR20580"/>
    <x v="0"/>
    <x v="354"/>
    <d v="2023-02-21T00:00:00"/>
    <n v="2177.16"/>
    <s v="USD"/>
    <s v="Open"/>
    <m/>
    <s v="Net 45"/>
    <b v="1"/>
    <n v="1117"/>
    <n v="1072"/>
    <x v="0"/>
    <n v="2177.16"/>
    <x v="0"/>
    <n v="0"/>
    <n v="2177.16"/>
  </r>
  <r>
    <s v="AR20581"/>
    <x v="3"/>
    <x v="39"/>
    <d v="2023-09-19T00:00:00"/>
    <n v="5300.97"/>
    <s v="USD"/>
    <s v="Received"/>
    <d v="2023-09-19T00:00:00"/>
    <s v="Net 45"/>
    <b v="0"/>
    <n v="45"/>
    <n v="0"/>
    <x v="1"/>
    <n v="0"/>
    <x v="2"/>
    <n v="5300.97"/>
    <n v="0"/>
  </r>
  <r>
    <s v="AR20582"/>
    <x v="2"/>
    <x v="425"/>
    <d v="2025-05-29T00:00:00"/>
    <n v="1242.32"/>
    <s v="GBP"/>
    <s v="Partial"/>
    <m/>
    <s v="Net 45"/>
    <b v="1"/>
    <n v="289"/>
    <n v="244"/>
    <x v="0"/>
    <n v="1242.32"/>
    <x v="1"/>
    <n v="0"/>
    <n v="1242.32"/>
  </r>
  <r>
    <s v="AR20583"/>
    <x v="2"/>
    <x v="426"/>
    <d v="2025-03-05T00:00:00"/>
    <n v="4115.6400000000003"/>
    <s v="CAD"/>
    <s v="Open"/>
    <m/>
    <s v="Net 45"/>
    <b v="1"/>
    <n v="374"/>
    <n v="329"/>
    <x v="0"/>
    <n v="4115.6400000000003"/>
    <x v="1"/>
    <n v="0"/>
    <n v="4115.6400000000003"/>
  </r>
  <r>
    <s v="AR20584"/>
    <x v="1"/>
    <x v="211"/>
    <d v="2024-12-24T00:00:00"/>
    <n v="7260.77"/>
    <s v="USD"/>
    <s v="Partial"/>
    <m/>
    <s v="Net 45"/>
    <b v="1"/>
    <n v="445"/>
    <n v="400"/>
    <x v="0"/>
    <n v="7260.77"/>
    <x v="0"/>
    <n v="0"/>
    <n v="7260.77"/>
  </r>
  <r>
    <s v="AR20585"/>
    <x v="0"/>
    <x v="427"/>
    <d v="2024-07-12T00:00:00"/>
    <n v="3015.47"/>
    <s v="CAD"/>
    <s v="Received"/>
    <d v="2024-07-12T00:00:00"/>
    <s v="Net 45"/>
    <b v="0"/>
    <n v="45"/>
    <n v="0"/>
    <x v="1"/>
    <n v="0"/>
    <x v="2"/>
    <n v="3015.47"/>
    <n v="0"/>
  </r>
  <r>
    <s v="AR20586"/>
    <x v="4"/>
    <x v="428"/>
    <d v="2023-03-28T00:00:00"/>
    <n v="6294.93"/>
    <s v="EUR"/>
    <s v="Partial"/>
    <m/>
    <s v="Net 45"/>
    <b v="1"/>
    <n v="1082"/>
    <n v="1037"/>
    <x v="0"/>
    <n v="6294.93"/>
    <x v="0"/>
    <n v="0"/>
    <n v="6294.93"/>
  </r>
  <r>
    <s v="AR20587"/>
    <x v="1"/>
    <x v="33"/>
    <d v="2024-01-07T00:00:00"/>
    <n v="4468.68"/>
    <s v="GBP"/>
    <s v="Open"/>
    <m/>
    <s v="Net 45"/>
    <b v="1"/>
    <n v="797"/>
    <n v="752"/>
    <x v="0"/>
    <n v="4468.68"/>
    <x v="0"/>
    <n v="0"/>
    <n v="4468.68"/>
  </r>
  <r>
    <s v="AR20588"/>
    <x v="1"/>
    <x v="283"/>
    <d v="2023-12-08T00:00:00"/>
    <n v="240.09"/>
    <s v="GBP"/>
    <s v="Open"/>
    <m/>
    <s v="Net 45"/>
    <b v="1"/>
    <n v="827"/>
    <n v="782"/>
    <x v="0"/>
    <n v="240.09"/>
    <x v="0"/>
    <n v="0"/>
    <n v="240.09"/>
  </r>
  <r>
    <s v="AR20589"/>
    <x v="3"/>
    <x v="429"/>
    <d v="2025-07-10T00:00:00"/>
    <n v="7050.65"/>
    <s v="AUD"/>
    <s v="Received"/>
    <d v="2025-07-10T00:00:00"/>
    <s v="Net 45"/>
    <b v="0"/>
    <n v="45"/>
    <n v="0"/>
    <x v="1"/>
    <n v="0"/>
    <x v="2"/>
    <n v="7050.65"/>
    <n v="0"/>
  </r>
  <r>
    <s v="AR20590"/>
    <x v="2"/>
    <x v="229"/>
    <d v="2025-03-09T00:00:00"/>
    <n v="4117.13"/>
    <s v="CAD"/>
    <s v="Received"/>
    <d v="2025-03-09T00:00:00"/>
    <s v="Net 45"/>
    <b v="0"/>
    <n v="45"/>
    <n v="0"/>
    <x v="1"/>
    <n v="0"/>
    <x v="2"/>
    <n v="4117.13"/>
    <n v="0"/>
  </r>
  <r>
    <s v="AR20591"/>
    <x v="2"/>
    <x v="430"/>
    <d v="2024-07-02T00:00:00"/>
    <n v="2054.09"/>
    <s v="AUD"/>
    <s v="Received"/>
    <d v="2024-07-02T00:00:00"/>
    <s v="Net 45"/>
    <b v="0"/>
    <n v="45"/>
    <n v="0"/>
    <x v="1"/>
    <n v="0"/>
    <x v="2"/>
    <n v="2054.09"/>
    <n v="0"/>
  </r>
  <r>
    <s v="AR20592"/>
    <x v="1"/>
    <x v="161"/>
    <d v="2024-09-20T00:00:00"/>
    <n v="5527.3"/>
    <s v="EUR"/>
    <s v="Open"/>
    <m/>
    <s v="Net 45"/>
    <b v="1"/>
    <n v="540"/>
    <n v="495"/>
    <x v="0"/>
    <n v="5527.3"/>
    <x v="0"/>
    <n v="0"/>
    <n v="5527.3"/>
  </r>
  <r>
    <s v="AR20593"/>
    <x v="2"/>
    <x v="264"/>
    <d v="2025-01-05T00:00:00"/>
    <n v="3629.15"/>
    <s v="GBP"/>
    <s v="Open"/>
    <m/>
    <s v="Net 45"/>
    <b v="1"/>
    <n v="433"/>
    <n v="388"/>
    <x v="0"/>
    <n v="3629.15"/>
    <x v="0"/>
    <n v="0"/>
    <n v="3629.15"/>
  </r>
  <r>
    <s v="AR20594"/>
    <x v="3"/>
    <x v="431"/>
    <d v="2023-10-14T00:00:00"/>
    <n v="1194.05"/>
    <s v="CAD"/>
    <s v="Partial"/>
    <m/>
    <s v="Net 45"/>
    <b v="1"/>
    <n v="882"/>
    <n v="837"/>
    <x v="0"/>
    <n v="1194.05"/>
    <x v="0"/>
    <n v="0"/>
    <n v="1194.05"/>
  </r>
  <r>
    <s v="AR20595"/>
    <x v="2"/>
    <x v="399"/>
    <d v="2025-06-26T00:00:00"/>
    <n v="1885.59"/>
    <s v="AUD"/>
    <s v="Received"/>
    <d v="2025-06-26T00:00:00"/>
    <s v="Net 45"/>
    <b v="0"/>
    <n v="45"/>
    <n v="0"/>
    <x v="1"/>
    <n v="0"/>
    <x v="2"/>
    <n v="1885.59"/>
    <n v="0"/>
  </r>
  <r>
    <s v="AR20596"/>
    <x v="4"/>
    <x v="432"/>
    <d v="2024-09-05T00:00:00"/>
    <n v="5091.8900000000003"/>
    <s v="USD"/>
    <s v="Partial"/>
    <m/>
    <s v="Net 45"/>
    <b v="1"/>
    <n v="555"/>
    <n v="510"/>
    <x v="0"/>
    <n v="5091.8900000000003"/>
    <x v="0"/>
    <n v="0"/>
    <n v="5091.8900000000003"/>
  </r>
  <r>
    <s v="AR20597"/>
    <x v="2"/>
    <x v="433"/>
    <d v="2024-09-22T00:00:00"/>
    <n v="6072.8"/>
    <s v="AUD"/>
    <s v="Open"/>
    <m/>
    <s v="Net 45"/>
    <b v="1"/>
    <n v="538"/>
    <n v="493"/>
    <x v="0"/>
    <n v="6072.8"/>
    <x v="0"/>
    <n v="0"/>
    <n v="6072.8"/>
  </r>
  <r>
    <s v="AR20598"/>
    <x v="3"/>
    <x v="54"/>
    <d v="2024-08-21T00:00:00"/>
    <n v="4904.74"/>
    <s v="USD"/>
    <s v="Open"/>
    <m/>
    <s v="Net 45"/>
    <b v="1"/>
    <n v="570"/>
    <n v="525"/>
    <x v="0"/>
    <n v="4904.74"/>
    <x v="0"/>
    <n v="0"/>
    <n v="4904.74"/>
  </r>
  <r>
    <s v="AR20599"/>
    <x v="1"/>
    <x v="55"/>
    <d v="2023-08-30T00:00:00"/>
    <n v="6631.88"/>
    <s v="EUR"/>
    <s v="Received"/>
    <d v="2023-08-30T00:00:00"/>
    <s v="Net 45"/>
    <b v="0"/>
    <n v="45"/>
    <n v="0"/>
    <x v="1"/>
    <n v="0"/>
    <x v="2"/>
    <n v="6631.88"/>
    <n v="0"/>
  </r>
  <r>
    <s v="AR20600"/>
    <x v="2"/>
    <x v="434"/>
    <d v="2024-04-02T00:00:00"/>
    <n v="4297.46"/>
    <s v="USD"/>
    <s v="Partial"/>
    <m/>
    <s v="Net 45"/>
    <b v="1"/>
    <n v="711"/>
    <n v="666"/>
    <x v="0"/>
    <n v="4297.46"/>
    <x v="0"/>
    <n v="0"/>
    <n v="4297.46"/>
  </r>
  <r>
    <s v="AR20601"/>
    <x v="0"/>
    <x v="385"/>
    <d v="2024-11-13T00:00:00"/>
    <n v="6265.82"/>
    <s v="USD"/>
    <s v="Open"/>
    <m/>
    <s v="Net 45"/>
    <b v="1"/>
    <n v="486"/>
    <n v="441"/>
    <x v="0"/>
    <n v="6265.82"/>
    <x v="0"/>
    <n v="0"/>
    <n v="6265.82"/>
  </r>
  <r>
    <s v="AR20602"/>
    <x v="3"/>
    <x v="435"/>
    <d v="2024-04-16T00:00:00"/>
    <n v="1336.98"/>
    <s v="EUR"/>
    <s v="Received"/>
    <d v="2024-04-16T00:00:00"/>
    <s v="Net 45"/>
    <b v="0"/>
    <n v="45"/>
    <n v="0"/>
    <x v="1"/>
    <n v="0"/>
    <x v="2"/>
    <n v="1336.98"/>
    <n v="0"/>
  </r>
  <r>
    <s v="AR20603"/>
    <x v="0"/>
    <x v="436"/>
    <d v="2023-08-04T00:00:00"/>
    <n v="2594.04"/>
    <s v="USD"/>
    <s v="Open"/>
    <m/>
    <s v="Net 45"/>
    <b v="1"/>
    <n v="953"/>
    <n v="908"/>
    <x v="0"/>
    <n v="2594.04"/>
    <x v="0"/>
    <n v="0"/>
    <n v="2594.04"/>
  </r>
  <r>
    <s v="AR20604"/>
    <x v="3"/>
    <x v="437"/>
    <d v="2024-02-29T00:00:00"/>
    <n v="3492.88"/>
    <s v="GBP"/>
    <s v="Partial"/>
    <m/>
    <s v="Net 45"/>
    <b v="1"/>
    <n v="744"/>
    <n v="699"/>
    <x v="0"/>
    <n v="3492.88"/>
    <x v="0"/>
    <n v="0"/>
    <n v="3492.88"/>
  </r>
  <r>
    <s v="AR20605"/>
    <x v="0"/>
    <x v="326"/>
    <d v="2025-06-15T00:00:00"/>
    <n v="6733.21"/>
    <s v="EUR"/>
    <s v="Partial"/>
    <m/>
    <s v="Net 45"/>
    <b v="1"/>
    <n v="272"/>
    <n v="227"/>
    <x v="0"/>
    <n v="6733.21"/>
    <x v="1"/>
    <n v="0"/>
    <n v="6733.21"/>
  </r>
  <r>
    <s v="AR20606"/>
    <x v="4"/>
    <x v="438"/>
    <d v="2024-02-28T00:00:00"/>
    <n v="392.35"/>
    <s v="GBP"/>
    <s v="Partial"/>
    <m/>
    <s v="Net 45"/>
    <b v="1"/>
    <n v="745"/>
    <n v="700"/>
    <x v="0"/>
    <n v="392.35"/>
    <x v="0"/>
    <n v="0"/>
    <n v="392.35"/>
  </r>
  <r>
    <s v="AR20607"/>
    <x v="2"/>
    <x v="97"/>
    <d v="2024-05-08T00:00:00"/>
    <n v="372.39"/>
    <s v="CAD"/>
    <s v="Open"/>
    <m/>
    <s v="Net 45"/>
    <b v="1"/>
    <n v="675"/>
    <n v="630"/>
    <x v="0"/>
    <n v="372.39"/>
    <x v="0"/>
    <n v="0"/>
    <n v="372.39"/>
  </r>
  <r>
    <s v="AR20608"/>
    <x v="4"/>
    <x v="246"/>
    <d v="2024-02-21T00:00:00"/>
    <n v="5066.4799999999996"/>
    <s v="GBP"/>
    <s v="Partial"/>
    <m/>
    <s v="Net 45"/>
    <b v="1"/>
    <n v="752"/>
    <n v="707"/>
    <x v="0"/>
    <n v="5066.4799999999996"/>
    <x v="0"/>
    <n v="0"/>
    <n v="5066.4799999999996"/>
  </r>
  <r>
    <s v="AR20609"/>
    <x v="0"/>
    <x v="128"/>
    <d v="2025-07-11T00:00:00"/>
    <n v="2397.25"/>
    <s v="CAD"/>
    <s v="Open"/>
    <m/>
    <s v="Net 45"/>
    <b v="1"/>
    <n v="246"/>
    <n v="201"/>
    <x v="0"/>
    <n v="2397.25"/>
    <x v="1"/>
    <n v="0"/>
    <n v="2397.25"/>
  </r>
  <r>
    <s v="AR20610"/>
    <x v="1"/>
    <x v="439"/>
    <d v="2023-08-27T00:00:00"/>
    <n v="1999.63"/>
    <s v="EUR"/>
    <s v="Open"/>
    <m/>
    <s v="Net 45"/>
    <b v="1"/>
    <n v="930"/>
    <n v="885"/>
    <x v="0"/>
    <n v="1999.63"/>
    <x v="0"/>
    <n v="0"/>
    <n v="1999.63"/>
  </r>
  <r>
    <s v="AR20611"/>
    <x v="4"/>
    <x v="440"/>
    <d v="2025-01-22T00:00:00"/>
    <n v="1154.49"/>
    <s v="USD"/>
    <s v="Received"/>
    <d v="2025-01-22T00:00:00"/>
    <s v="Net 45"/>
    <b v="0"/>
    <n v="45"/>
    <n v="0"/>
    <x v="1"/>
    <n v="0"/>
    <x v="2"/>
    <n v="1154.49"/>
    <n v="0"/>
  </r>
  <r>
    <s v="AR20612"/>
    <x v="2"/>
    <x v="441"/>
    <d v="2023-06-04T00:00:00"/>
    <n v="594.48"/>
    <s v="USD"/>
    <s v="Open"/>
    <m/>
    <s v="Net 45"/>
    <b v="1"/>
    <n v="1014"/>
    <n v="969"/>
    <x v="0"/>
    <n v="594.48"/>
    <x v="0"/>
    <n v="0"/>
    <n v="594.48"/>
  </r>
  <r>
    <s v="AR20613"/>
    <x v="1"/>
    <x v="226"/>
    <d v="2023-10-27T00:00:00"/>
    <n v="6539.17"/>
    <s v="AUD"/>
    <s v="Partial"/>
    <m/>
    <s v="Net 45"/>
    <b v="1"/>
    <n v="869"/>
    <n v="824"/>
    <x v="0"/>
    <n v="6539.17"/>
    <x v="0"/>
    <n v="0"/>
    <n v="6539.17"/>
  </r>
  <r>
    <s v="AR20614"/>
    <x v="1"/>
    <x v="442"/>
    <d v="2024-05-17T00:00:00"/>
    <n v="6898.03"/>
    <s v="GBP"/>
    <s v="Open"/>
    <m/>
    <s v="Net 45"/>
    <b v="1"/>
    <n v="666"/>
    <n v="621"/>
    <x v="0"/>
    <n v="6898.03"/>
    <x v="0"/>
    <n v="0"/>
    <n v="6898.03"/>
  </r>
  <r>
    <s v="AR20615"/>
    <x v="0"/>
    <x v="443"/>
    <d v="2024-02-27T00:00:00"/>
    <n v="1278.8699999999999"/>
    <s v="USD"/>
    <s v="Open"/>
    <m/>
    <s v="Net 45"/>
    <b v="1"/>
    <n v="746"/>
    <n v="701"/>
    <x v="0"/>
    <n v="1278.8699999999999"/>
    <x v="0"/>
    <n v="0"/>
    <n v="1278.8699999999999"/>
  </r>
  <r>
    <s v="AR20616"/>
    <x v="0"/>
    <x v="324"/>
    <d v="2025-06-02T00:00:00"/>
    <n v="2943.85"/>
    <s v="EUR"/>
    <s v="Received"/>
    <d v="2025-06-02T00:00:00"/>
    <s v="Net 45"/>
    <b v="0"/>
    <n v="45"/>
    <n v="0"/>
    <x v="1"/>
    <n v="0"/>
    <x v="2"/>
    <n v="2943.85"/>
    <n v="0"/>
  </r>
  <r>
    <s v="AR20617"/>
    <x v="0"/>
    <x v="402"/>
    <d v="2023-12-05T00:00:00"/>
    <n v="2262.88"/>
    <s v="EUR"/>
    <s v="Partial"/>
    <m/>
    <s v="Net 45"/>
    <b v="1"/>
    <n v="830"/>
    <n v="785"/>
    <x v="0"/>
    <n v="2262.88"/>
    <x v="0"/>
    <n v="0"/>
    <n v="2262.88"/>
  </r>
  <r>
    <s v="AR20618"/>
    <x v="3"/>
    <x v="242"/>
    <d v="2024-08-04T00:00:00"/>
    <n v="839.79"/>
    <s v="GBP"/>
    <s v="Partial"/>
    <m/>
    <s v="Net 45"/>
    <b v="1"/>
    <n v="587"/>
    <n v="542"/>
    <x v="0"/>
    <n v="839.79"/>
    <x v="0"/>
    <n v="0"/>
    <n v="839.79"/>
  </r>
  <r>
    <s v="AR20619"/>
    <x v="4"/>
    <x v="380"/>
    <d v="2023-11-23T00:00:00"/>
    <n v="1981.78"/>
    <s v="CAD"/>
    <s v="Open"/>
    <m/>
    <s v="Net 45"/>
    <b v="1"/>
    <n v="842"/>
    <n v="797"/>
    <x v="0"/>
    <n v="1981.78"/>
    <x v="0"/>
    <n v="0"/>
    <n v="1981.78"/>
  </r>
  <r>
    <s v="AR20620"/>
    <x v="3"/>
    <x v="444"/>
    <d v="2024-08-02T00:00:00"/>
    <n v="7993.22"/>
    <s v="USD"/>
    <s v="Received"/>
    <d v="2024-08-02T00:00:00"/>
    <s v="Net 45"/>
    <b v="0"/>
    <n v="45"/>
    <n v="0"/>
    <x v="1"/>
    <n v="0"/>
    <x v="2"/>
    <n v="7993.22"/>
    <n v="0"/>
  </r>
  <r>
    <s v="AR20621"/>
    <x v="4"/>
    <x v="445"/>
    <d v="2024-11-26T00:00:00"/>
    <n v="505.41"/>
    <s v="GBP"/>
    <s v="Received"/>
    <d v="2024-11-26T00:00:00"/>
    <s v="Net 45"/>
    <b v="0"/>
    <n v="45"/>
    <n v="0"/>
    <x v="1"/>
    <n v="0"/>
    <x v="2"/>
    <n v="505.41"/>
    <n v="0"/>
  </r>
  <r>
    <s v="AR20622"/>
    <x v="0"/>
    <x v="306"/>
    <d v="2024-06-16T00:00:00"/>
    <n v="1214.1099999999999"/>
    <s v="USD"/>
    <s v="Open"/>
    <m/>
    <s v="Net 45"/>
    <b v="1"/>
    <n v="636"/>
    <n v="591"/>
    <x v="0"/>
    <n v="1214.1099999999999"/>
    <x v="0"/>
    <n v="0"/>
    <n v="1214.1099999999999"/>
  </r>
  <r>
    <s v="AR20623"/>
    <x v="4"/>
    <x v="191"/>
    <d v="2025-06-05T00:00:00"/>
    <n v="2924.58"/>
    <s v="CAD"/>
    <s v="Received"/>
    <d v="2025-06-05T00:00:00"/>
    <s v="Net 45"/>
    <b v="0"/>
    <n v="45"/>
    <n v="0"/>
    <x v="1"/>
    <n v="0"/>
    <x v="2"/>
    <n v="2924.58"/>
    <n v="0"/>
  </r>
  <r>
    <s v="AR20624"/>
    <x v="2"/>
    <x v="124"/>
    <d v="2023-12-28T00:00:00"/>
    <n v="7029.41"/>
    <s v="GBP"/>
    <s v="Partial"/>
    <m/>
    <s v="Net 45"/>
    <b v="1"/>
    <n v="807"/>
    <n v="762"/>
    <x v="0"/>
    <n v="7029.41"/>
    <x v="0"/>
    <n v="0"/>
    <n v="7029.41"/>
  </r>
  <r>
    <s v="AR20625"/>
    <x v="0"/>
    <x v="446"/>
    <d v="2024-10-20T00:00:00"/>
    <n v="4527.1099999999997"/>
    <s v="EUR"/>
    <s v="Open"/>
    <m/>
    <s v="Net 45"/>
    <b v="1"/>
    <n v="510"/>
    <n v="465"/>
    <x v="0"/>
    <n v="4527.1099999999997"/>
    <x v="0"/>
    <n v="0"/>
    <n v="4527.1099999999997"/>
  </r>
  <r>
    <s v="AR20626"/>
    <x v="1"/>
    <x v="447"/>
    <d v="2023-06-25T00:00:00"/>
    <n v="6525.23"/>
    <s v="AUD"/>
    <s v="Open"/>
    <m/>
    <s v="Net 45"/>
    <b v="1"/>
    <n v="993"/>
    <n v="948"/>
    <x v="0"/>
    <n v="6525.23"/>
    <x v="0"/>
    <n v="0"/>
    <n v="6525.23"/>
  </r>
  <r>
    <s v="AR20627"/>
    <x v="3"/>
    <x v="448"/>
    <d v="2025-08-05T00:00:00"/>
    <n v="3824.97"/>
    <s v="USD"/>
    <s v="Received"/>
    <d v="2025-08-05T00:00:00"/>
    <s v="Net 45"/>
    <b v="0"/>
    <n v="45"/>
    <n v="0"/>
    <x v="1"/>
    <n v="0"/>
    <x v="2"/>
    <n v="3824.97"/>
    <n v="0"/>
  </r>
  <r>
    <s v="AR20628"/>
    <x v="4"/>
    <x v="203"/>
    <d v="2025-04-05T00:00:00"/>
    <n v="1942.51"/>
    <s v="AUD"/>
    <s v="Partial"/>
    <m/>
    <s v="Net 45"/>
    <b v="1"/>
    <n v="343"/>
    <n v="298"/>
    <x v="0"/>
    <n v="1942.51"/>
    <x v="1"/>
    <n v="0"/>
    <n v="1942.51"/>
  </r>
  <r>
    <s v="AR20629"/>
    <x v="0"/>
    <x v="449"/>
    <d v="2023-12-26T00:00:00"/>
    <n v="5154.78"/>
    <s v="EUR"/>
    <s v="Partial"/>
    <m/>
    <s v="Net 45"/>
    <b v="1"/>
    <n v="809"/>
    <n v="764"/>
    <x v="0"/>
    <n v="5154.78"/>
    <x v="0"/>
    <n v="0"/>
    <n v="5154.78"/>
  </r>
  <r>
    <s v="AR20630"/>
    <x v="2"/>
    <x v="383"/>
    <d v="2023-09-02T00:00:00"/>
    <n v="2001.78"/>
    <s v="AUD"/>
    <s v="Partial"/>
    <m/>
    <s v="Net 45"/>
    <b v="1"/>
    <n v="924"/>
    <n v="879"/>
    <x v="0"/>
    <n v="2001.78"/>
    <x v="0"/>
    <n v="0"/>
    <n v="2001.78"/>
  </r>
  <r>
    <s v="AR20631"/>
    <x v="0"/>
    <x v="450"/>
    <d v="2024-12-11T00:00:00"/>
    <n v="2090.41"/>
    <s v="EUR"/>
    <s v="Open"/>
    <m/>
    <s v="Net 45"/>
    <b v="1"/>
    <n v="458"/>
    <n v="413"/>
    <x v="0"/>
    <n v="2090.41"/>
    <x v="0"/>
    <n v="0"/>
    <n v="2090.41"/>
  </r>
  <r>
    <s v="AR20632"/>
    <x v="3"/>
    <x v="282"/>
    <d v="2023-11-05T00:00:00"/>
    <n v="2713.38"/>
    <s v="USD"/>
    <s v="Received"/>
    <d v="2023-11-05T00:00:00"/>
    <s v="Net 45"/>
    <b v="0"/>
    <n v="45"/>
    <n v="0"/>
    <x v="1"/>
    <n v="0"/>
    <x v="2"/>
    <n v="2713.38"/>
    <n v="0"/>
  </r>
  <r>
    <s v="AR20633"/>
    <x v="2"/>
    <x v="451"/>
    <d v="2023-05-08T00:00:00"/>
    <n v="1688.41"/>
    <s v="USD"/>
    <s v="Received"/>
    <d v="2023-05-08T00:00:00"/>
    <s v="Net 45"/>
    <b v="0"/>
    <n v="45"/>
    <n v="0"/>
    <x v="1"/>
    <n v="0"/>
    <x v="2"/>
    <n v="1688.41"/>
    <n v="0"/>
  </r>
  <r>
    <s v="AR20634"/>
    <x v="4"/>
    <x v="47"/>
    <d v="2023-08-15T00:00:00"/>
    <n v="7964.05"/>
    <s v="AUD"/>
    <s v="Partial"/>
    <m/>
    <s v="Net 45"/>
    <b v="1"/>
    <n v="942"/>
    <n v="897"/>
    <x v="0"/>
    <n v="7964.05"/>
    <x v="0"/>
    <n v="0"/>
    <n v="7964.05"/>
  </r>
  <r>
    <s v="AR20635"/>
    <x v="2"/>
    <x v="452"/>
    <d v="2025-05-28T00:00:00"/>
    <n v="1540.79"/>
    <s v="USD"/>
    <s v="Open"/>
    <m/>
    <s v="Net 45"/>
    <b v="1"/>
    <n v="290"/>
    <n v="245"/>
    <x v="0"/>
    <n v="1540.79"/>
    <x v="1"/>
    <n v="0"/>
    <n v="1540.79"/>
  </r>
  <r>
    <s v="AR20636"/>
    <x v="3"/>
    <x v="191"/>
    <d v="2025-06-05T00:00:00"/>
    <n v="1933.33"/>
    <s v="USD"/>
    <s v="Open"/>
    <m/>
    <s v="Net 45"/>
    <b v="1"/>
    <n v="282"/>
    <n v="237"/>
    <x v="0"/>
    <n v="1933.33"/>
    <x v="1"/>
    <n v="0"/>
    <n v="1933.33"/>
  </r>
  <r>
    <s v="AR20637"/>
    <x v="1"/>
    <x v="168"/>
    <d v="2023-10-17T00:00:00"/>
    <n v="458.58"/>
    <s v="GBP"/>
    <s v="Open"/>
    <m/>
    <s v="Net 45"/>
    <b v="1"/>
    <n v="879"/>
    <n v="834"/>
    <x v="0"/>
    <n v="458.58"/>
    <x v="0"/>
    <n v="0"/>
    <n v="458.58"/>
  </r>
  <r>
    <s v="AR20638"/>
    <x v="3"/>
    <x v="453"/>
    <d v="2025-08-13T00:00:00"/>
    <n v="5760.56"/>
    <s v="USD"/>
    <s v="Partial"/>
    <m/>
    <s v="Net 45"/>
    <b v="1"/>
    <n v="213"/>
    <n v="168"/>
    <x v="0"/>
    <n v="5760.56"/>
    <x v="3"/>
    <n v="0"/>
    <n v="5760.56"/>
  </r>
  <r>
    <s v="AR20639"/>
    <x v="1"/>
    <x v="454"/>
    <d v="2025-07-24T00:00:00"/>
    <n v="1719.86"/>
    <s v="EUR"/>
    <s v="Partial"/>
    <m/>
    <s v="Net 45"/>
    <b v="1"/>
    <n v="233"/>
    <n v="188"/>
    <x v="0"/>
    <n v="1719.86"/>
    <x v="1"/>
    <n v="0"/>
    <n v="1719.86"/>
  </r>
  <r>
    <s v="AR20640"/>
    <x v="3"/>
    <x v="455"/>
    <d v="2025-04-23T00:00:00"/>
    <n v="6756.99"/>
    <s v="EUR"/>
    <s v="Partial"/>
    <m/>
    <s v="Net 45"/>
    <b v="1"/>
    <n v="325"/>
    <n v="280"/>
    <x v="0"/>
    <n v="6756.99"/>
    <x v="1"/>
    <n v="0"/>
    <n v="6756.99"/>
  </r>
  <r>
    <s v="AR20641"/>
    <x v="0"/>
    <x v="456"/>
    <d v="2024-12-25T00:00:00"/>
    <n v="4654.32"/>
    <s v="CAD"/>
    <s v="Open"/>
    <m/>
    <s v="Net 45"/>
    <b v="1"/>
    <n v="444"/>
    <n v="399"/>
    <x v="0"/>
    <n v="4654.32"/>
    <x v="0"/>
    <n v="0"/>
    <n v="4654.32"/>
  </r>
  <r>
    <s v="AR20642"/>
    <x v="3"/>
    <x v="457"/>
    <d v="2024-11-20T00:00:00"/>
    <n v="3915.77"/>
    <s v="USD"/>
    <s v="Open"/>
    <m/>
    <s v="Net 45"/>
    <b v="1"/>
    <n v="479"/>
    <n v="434"/>
    <x v="0"/>
    <n v="3915.77"/>
    <x v="0"/>
    <n v="0"/>
    <n v="3915.77"/>
  </r>
  <r>
    <s v="AR20643"/>
    <x v="4"/>
    <x v="458"/>
    <d v="2025-07-07T00:00:00"/>
    <n v="1446.12"/>
    <s v="USD"/>
    <s v="Received"/>
    <d v="2025-07-07T00:00:00"/>
    <s v="Net 45"/>
    <b v="0"/>
    <n v="45"/>
    <n v="0"/>
    <x v="1"/>
    <n v="0"/>
    <x v="2"/>
    <n v="1446.12"/>
    <n v="0"/>
  </r>
  <r>
    <s v="AR20644"/>
    <x v="4"/>
    <x v="459"/>
    <d v="2024-07-26T00:00:00"/>
    <n v="3333.72"/>
    <s v="CAD"/>
    <s v="Received"/>
    <d v="2024-07-26T00:00:00"/>
    <s v="Net 45"/>
    <b v="0"/>
    <n v="45"/>
    <n v="0"/>
    <x v="1"/>
    <n v="0"/>
    <x v="2"/>
    <n v="3333.72"/>
    <n v="0"/>
  </r>
  <r>
    <s v="AR20645"/>
    <x v="4"/>
    <x v="87"/>
    <d v="2023-06-30T00:00:00"/>
    <n v="6396.64"/>
    <s v="USD"/>
    <s v="Received"/>
    <d v="2023-06-30T00:00:00"/>
    <s v="Net 45"/>
    <b v="0"/>
    <n v="45"/>
    <n v="0"/>
    <x v="1"/>
    <n v="0"/>
    <x v="2"/>
    <n v="6396.64"/>
    <n v="0"/>
  </r>
  <r>
    <s v="AR20646"/>
    <x v="3"/>
    <x v="460"/>
    <d v="2024-10-04T00:00:00"/>
    <n v="745.71"/>
    <s v="GBP"/>
    <s v="Open"/>
    <m/>
    <s v="Net 45"/>
    <b v="1"/>
    <n v="526"/>
    <n v="481"/>
    <x v="0"/>
    <n v="745.71"/>
    <x v="0"/>
    <n v="0"/>
    <n v="745.71"/>
  </r>
  <r>
    <s v="AR20647"/>
    <x v="3"/>
    <x v="461"/>
    <d v="2024-09-13T00:00:00"/>
    <n v="2882.56"/>
    <s v="GBP"/>
    <s v="Received"/>
    <d v="2024-09-13T00:00:00"/>
    <s v="Net 45"/>
    <b v="0"/>
    <n v="45"/>
    <n v="0"/>
    <x v="1"/>
    <n v="0"/>
    <x v="2"/>
    <n v="2882.56"/>
    <n v="0"/>
  </r>
  <r>
    <s v="AR20648"/>
    <x v="0"/>
    <x v="133"/>
    <d v="2023-11-01T00:00:00"/>
    <n v="4831.9799999999996"/>
    <s v="USD"/>
    <s v="Open"/>
    <m/>
    <s v="Net 45"/>
    <b v="1"/>
    <n v="864"/>
    <n v="819"/>
    <x v="0"/>
    <n v="4831.9799999999996"/>
    <x v="0"/>
    <n v="0"/>
    <n v="4831.9799999999996"/>
  </r>
  <r>
    <s v="AR20649"/>
    <x v="1"/>
    <x v="462"/>
    <d v="2023-02-17T00:00:00"/>
    <n v="1606.99"/>
    <s v="GBP"/>
    <s v="Open"/>
    <m/>
    <s v="Net 45"/>
    <b v="1"/>
    <n v="1121"/>
    <n v="1076"/>
    <x v="0"/>
    <n v="1606.99"/>
    <x v="0"/>
    <n v="0"/>
    <n v="1606.99"/>
  </r>
  <r>
    <s v="AR20650"/>
    <x v="3"/>
    <x v="354"/>
    <d v="2023-02-21T00:00:00"/>
    <n v="243.81"/>
    <s v="GBP"/>
    <s v="Open"/>
    <m/>
    <s v="Net 45"/>
    <b v="1"/>
    <n v="1117"/>
    <n v="1072"/>
    <x v="0"/>
    <n v="243.81"/>
    <x v="0"/>
    <n v="0"/>
    <n v="243.81"/>
  </r>
  <r>
    <s v="AR20651"/>
    <x v="1"/>
    <x v="90"/>
    <d v="2025-05-09T00:00:00"/>
    <n v="3008.8"/>
    <s v="CAD"/>
    <s v="Received"/>
    <d v="2025-05-09T00:00:00"/>
    <s v="Net 45"/>
    <b v="0"/>
    <n v="45"/>
    <n v="0"/>
    <x v="1"/>
    <n v="0"/>
    <x v="2"/>
    <n v="3008.8"/>
    <n v="0"/>
  </r>
  <r>
    <s v="AR20652"/>
    <x v="4"/>
    <x v="463"/>
    <d v="2023-03-17T00:00:00"/>
    <n v="6453.32"/>
    <s v="CAD"/>
    <s v="Received"/>
    <d v="2023-03-17T00:00:00"/>
    <s v="Net 45"/>
    <b v="0"/>
    <n v="45"/>
    <n v="0"/>
    <x v="1"/>
    <n v="0"/>
    <x v="2"/>
    <n v="6453.32"/>
    <n v="0"/>
  </r>
  <r>
    <s v="AR20653"/>
    <x v="4"/>
    <x v="464"/>
    <d v="2024-10-08T00:00:00"/>
    <n v="6816.1"/>
    <s v="GBP"/>
    <s v="Partial"/>
    <m/>
    <s v="Net 45"/>
    <b v="1"/>
    <n v="522"/>
    <n v="477"/>
    <x v="0"/>
    <n v="6816.1"/>
    <x v="0"/>
    <n v="0"/>
    <n v="6816.1"/>
  </r>
  <r>
    <s v="AR20654"/>
    <x v="0"/>
    <x v="465"/>
    <d v="2023-09-16T00:00:00"/>
    <n v="3940.19"/>
    <s v="AUD"/>
    <s v="Open"/>
    <m/>
    <s v="Net 45"/>
    <b v="1"/>
    <n v="910"/>
    <n v="865"/>
    <x v="0"/>
    <n v="3940.19"/>
    <x v="0"/>
    <n v="0"/>
    <n v="3940.19"/>
  </r>
  <r>
    <s v="AR20655"/>
    <x v="4"/>
    <x v="142"/>
    <d v="2023-07-29T00:00:00"/>
    <n v="3595.35"/>
    <s v="GBP"/>
    <s v="Open"/>
    <m/>
    <s v="Net 45"/>
    <b v="1"/>
    <n v="959"/>
    <n v="914"/>
    <x v="0"/>
    <n v="3595.35"/>
    <x v="0"/>
    <n v="0"/>
    <n v="3595.35"/>
  </r>
  <r>
    <s v="AR20656"/>
    <x v="0"/>
    <x v="30"/>
    <d v="2024-06-29T00:00:00"/>
    <n v="3077.11"/>
    <s v="CAD"/>
    <s v="Open"/>
    <m/>
    <s v="Net 45"/>
    <b v="1"/>
    <n v="623"/>
    <n v="578"/>
    <x v="0"/>
    <n v="3077.11"/>
    <x v="0"/>
    <n v="0"/>
    <n v="3077.11"/>
  </r>
  <r>
    <s v="AR20657"/>
    <x v="0"/>
    <x v="466"/>
    <d v="2025-04-03T00:00:00"/>
    <n v="5124.7"/>
    <s v="GBP"/>
    <s v="Partial"/>
    <m/>
    <s v="Net 45"/>
    <b v="1"/>
    <n v="345"/>
    <n v="300"/>
    <x v="0"/>
    <n v="5124.7"/>
    <x v="1"/>
    <n v="0"/>
    <n v="5124.7"/>
  </r>
  <r>
    <s v="AR20658"/>
    <x v="0"/>
    <x v="119"/>
    <d v="2023-07-30T00:00:00"/>
    <n v="7013.17"/>
    <s v="GBP"/>
    <s v="Partial"/>
    <m/>
    <s v="Net 45"/>
    <b v="1"/>
    <n v="958"/>
    <n v="913"/>
    <x v="0"/>
    <n v="7013.17"/>
    <x v="0"/>
    <n v="0"/>
    <n v="7013.17"/>
  </r>
  <r>
    <s v="AR20659"/>
    <x v="3"/>
    <x v="467"/>
    <d v="2023-03-24T00:00:00"/>
    <n v="6328.76"/>
    <s v="GBP"/>
    <s v="Open"/>
    <m/>
    <s v="Net 45"/>
    <b v="1"/>
    <n v="1086"/>
    <n v="1041"/>
    <x v="0"/>
    <n v="6328.76"/>
    <x v="0"/>
    <n v="0"/>
    <n v="6328.76"/>
  </r>
  <r>
    <s v="AR20660"/>
    <x v="4"/>
    <x v="341"/>
    <d v="2023-05-19T00:00:00"/>
    <n v="4370.75"/>
    <s v="EUR"/>
    <s v="Received"/>
    <d v="2023-05-19T00:00:00"/>
    <s v="Net 45"/>
    <b v="0"/>
    <n v="45"/>
    <n v="0"/>
    <x v="1"/>
    <n v="0"/>
    <x v="2"/>
    <n v="4370.75"/>
    <n v="0"/>
  </r>
  <r>
    <s v="AR20661"/>
    <x v="2"/>
    <x v="468"/>
    <d v="2024-01-01T00:00:00"/>
    <n v="1197.19"/>
    <s v="GBP"/>
    <s v="Received"/>
    <d v="2024-01-01T00:00:00"/>
    <s v="Net 45"/>
    <b v="0"/>
    <n v="45"/>
    <n v="0"/>
    <x v="1"/>
    <n v="0"/>
    <x v="2"/>
    <n v="1197.19"/>
    <n v="0"/>
  </r>
  <r>
    <s v="AR20662"/>
    <x v="1"/>
    <x v="469"/>
    <d v="2024-10-24T00:00:00"/>
    <n v="1237.3499999999999"/>
    <s v="EUR"/>
    <s v="Received"/>
    <d v="2024-10-24T00:00:00"/>
    <s v="Net 45"/>
    <b v="0"/>
    <n v="45"/>
    <n v="0"/>
    <x v="1"/>
    <n v="0"/>
    <x v="2"/>
    <n v="1237.3499999999999"/>
    <n v="0"/>
  </r>
  <r>
    <s v="AR20663"/>
    <x v="1"/>
    <x v="470"/>
    <d v="2023-07-04T00:00:00"/>
    <n v="1158.5999999999999"/>
    <s v="USD"/>
    <s v="Received"/>
    <d v="2023-07-04T00:00:00"/>
    <s v="Net 45"/>
    <b v="0"/>
    <n v="45"/>
    <n v="0"/>
    <x v="1"/>
    <n v="0"/>
    <x v="2"/>
    <n v="1158.5999999999999"/>
    <n v="0"/>
  </r>
  <r>
    <s v="AR20664"/>
    <x v="1"/>
    <x v="446"/>
    <d v="2024-10-20T00:00:00"/>
    <n v="902.03"/>
    <s v="EUR"/>
    <s v="Partial"/>
    <m/>
    <s v="Net 45"/>
    <b v="1"/>
    <n v="510"/>
    <n v="465"/>
    <x v="0"/>
    <n v="902.03"/>
    <x v="0"/>
    <n v="0"/>
    <n v="902.03"/>
  </r>
  <r>
    <s v="AR20665"/>
    <x v="2"/>
    <x v="235"/>
    <d v="2025-04-25T00:00:00"/>
    <n v="5343.75"/>
    <s v="CAD"/>
    <s v="Open"/>
    <m/>
    <s v="Net 45"/>
    <b v="1"/>
    <n v="323"/>
    <n v="278"/>
    <x v="0"/>
    <n v="5343.75"/>
    <x v="1"/>
    <n v="0"/>
    <n v="5343.75"/>
  </r>
  <r>
    <s v="AR20666"/>
    <x v="1"/>
    <x v="471"/>
    <d v="2024-12-31T00:00:00"/>
    <n v="7948.89"/>
    <s v="CAD"/>
    <s v="Partial"/>
    <m/>
    <s v="Net 45"/>
    <b v="1"/>
    <n v="438"/>
    <n v="393"/>
    <x v="0"/>
    <n v="7948.89"/>
    <x v="0"/>
    <n v="0"/>
    <n v="7948.89"/>
  </r>
  <r>
    <s v="AR20667"/>
    <x v="1"/>
    <x v="472"/>
    <d v="2024-11-18T00:00:00"/>
    <n v="7072.26"/>
    <s v="EUR"/>
    <s v="Received"/>
    <d v="2024-11-18T00:00:00"/>
    <s v="Net 45"/>
    <b v="0"/>
    <n v="45"/>
    <n v="0"/>
    <x v="1"/>
    <n v="0"/>
    <x v="2"/>
    <n v="7072.26"/>
    <n v="0"/>
  </r>
  <r>
    <s v="AR20668"/>
    <x v="1"/>
    <x v="473"/>
    <d v="2023-09-04T00:00:00"/>
    <n v="4905.33"/>
    <s v="USD"/>
    <s v="Partial"/>
    <m/>
    <s v="Net 45"/>
    <b v="1"/>
    <n v="922"/>
    <n v="877"/>
    <x v="0"/>
    <n v="4905.33"/>
    <x v="0"/>
    <n v="0"/>
    <n v="4905.33"/>
  </r>
  <r>
    <s v="AR20669"/>
    <x v="2"/>
    <x v="474"/>
    <d v="2023-05-23T00:00:00"/>
    <n v="1063.05"/>
    <s v="USD"/>
    <s v="Received"/>
    <d v="2023-05-23T00:00:00"/>
    <s v="Net 45"/>
    <b v="0"/>
    <n v="45"/>
    <n v="0"/>
    <x v="1"/>
    <n v="0"/>
    <x v="2"/>
    <n v="1063.05"/>
    <n v="0"/>
  </r>
  <r>
    <s v="AR20670"/>
    <x v="2"/>
    <x v="158"/>
    <d v="2025-03-26T00:00:00"/>
    <n v="4173.51"/>
    <s v="EUR"/>
    <s v="Received"/>
    <d v="2025-03-26T00:00:00"/>
    <s v="Net 45"/>
    <b v="0"/>
    <n v="45"/>
    <n v="0"/>
    <x v="1"/>
    <n v="0"/>
    <x v="2"/>
    <n v="4173.51"/>
    <n v="0"/>
  </r>
  <r>
    <s v="AR20671"/>
    <x v="2"/>
    <x v="413"/>
    <d v="2023-04-09T00:00:00"/>
    <n v="5531.26"/>
    <s v="USD"/>
    <s v="Open"/>
    <m/>
    <s v="Net 45"/>
    <b v="1"/>
    <n v="1070"/>
    <n v="1025"/>
    <x v="0"/>
    <n v="5531.26"/>
    <x v="0"/>
    <n v="0"/>
    <n v="5531.26"/>
  </r>
  <r>
    <s v="AR20672"/>
    <x v="3"/>
    <x v="475"/>
    <d v="2025-05-15T00:00:00"/>
    <n v="696.31"/>
    <s v="USD"/>
    <s v="Open"/>
    <m/>
    <s v="Net 45"/>
    <b v="1"/>
    <n v="303"/>
    <n v="258"/>
    <x v="0"/>
    <n v="696.31"/>
    <x v="1"/>
    <n v="0"/>
    <n v="696.31"/>
  </r>
  <r>
    <s v="AR20673"/>
    <x v="3"/>
    <x v="128"/>
    <d v="2025-07-11T00:00:00"/>
    <n v="4219.1899999999996"/>
    <s v="EUR"/>
    <s v="Open"/>
    <m/>
    <s v="Net 45"/>
    <b v="1"/>
    <n v="246"/>
    <n v="201"/>
    <x v="0"/>
    <n v="4219.1899999999996"/>
    <x v="1"/>
    <n v="0"/>
    <n v="4219.1899999999996"/>
  </r>
  <r>
    <s v="AR20674"/>
    <x v="0"/>
    <x v="476"/>
    <d v="2024-03-17T00:00:00"/>
    <n v="6754.63"/>
    <s v="EUR"/>
    <s v="Open"/>
    <m/>
    <s v="Net 45"/>
    <b v="1"/>
    <n v="727"/>
    <n v="682"/>
    <x v="0"/>
    <n v="6754.63"/>
    <x v="0"/>
    <n v="0"/>
    <n v="6754.63"/>
  </r>
  <r>
    <s v="AR20675"/>
    <x v="1"/>
    <x v="183"/>
    <d v="2024-05-19T00:00:00"/>
    <n v="4258.29"/>
    <s v="USD"/>
    <s v="Received"/>
    <d v="2024-05-19T00:00:00"/>
    <s v="Net 45"/>
    <b v="0"/>
    <n v="45"/>
    <n v="0"/>
    <x v="1"/>
    <n v="0"/>
    <x v="2"/>
    <n v="4258.29"/>
    <n v="0"/>
  </r>
  <r>
    <s v="AR20676"/>
    <x v="4"/>
    <x v="477"/>
    <d v="2023-07-19T00:00:00"/>
    <n v="5986.21"/>
    <s v="EUR"/>
    <s v="Partial"/>
    <m/>
    <s v="Net 45"/>
    <b v="1"/>
    <n v="969"/>
    <n v="924"/>
    <x v="0"/>
    <n v="5986.21"/>
    <x v="0"/>
    <n v="0"/>
    <n v="5986.21"/>
  </r>
  <r>
    <s v="AR20677"/>
    <x v="0"/>
    <x v="478"/>
    <d v="2023-08-19T00:00:00"/>
    <n v="6093.81"/>
    <s v="USD"/>
    <s v="Received"/>
    <d v="2023-08-19T00:00:00"/>
    <s v="Net 45"/>
    <b v="0"/>
    <n v="45"/>
    <n v="0"/>
    <x v="1"/>
    <n v="0"/>
    <x v="2"/>
    <n v="6093.81"/>
    <n v="0"/>
  </r>
  <r>
    <s v="AR20678"/>
    <x v="3"/>
    <x v="479"/>
    <d v="2024-10-18T00:00:00"/>
    <n v="3906.09"/>
    <s v="USD"/>
    <s v="Received"/>
    <d v="2024-10-18T00:00:00"/>
    <s v="Net 45"/>
    <b v="0"/>
    <n v="45"/>
    <n v="0"/>
    <x v="1"/>
    <n v="0"/>
    <x v="2"/>
    <n v="3906.09"/>
    <n v="0"/>
  </r>
  <r>
    <s v="AR20679"/>
    <x v="1"/>
    <x v="480"/>
    <d v="2025-01-11T00:00:00"/>
    <n v="4948.45"/>
    <s v="GBP"/>
    <s v="Open"/>
    <m/>
    <s v="Net 45"/>
    <b v="1"/>
    <n v="427"/>
    <n v="382"/>
    <x v="0"/>
    <n v="4948.45"/>
    <x v="0"/>
    <n v="0"/>
    <n v="4948.45"/>
  </r>
  <r>
    <s v="AR20680"/>
    <x v="4"/>
    <x v="26"/>
    <d v="2023-05-05T00:00:00"/>
    <n v="3111.12"/>
    <s v="EUR"/>
    <s v="Open"/>
    <m/>
    <s v="Net 45"/>
    <b v="1"/>
    <n v="1044"/>
    <n v="999"/>
    <x v="0"/>
    <n v="3111.12"/>
    <x v="0"/>
    <n v="0"/>
    <n v="3111.12"/>
  </r>
  <r>
    <s v="AR20681"/>
    <x v="1"/>
    <x v="481"/>
    <d v="2025-07-31T00:00:00"/>
    <n v="4171.1000000000004"/>
    <s v="CAD"/>
    <s v="Partial"/>
    <m/>
    <s v="Net 45"/>
    <b v="1"/>
    <n v="226"/>
    <n v="181"/>
    <x v="0"/>
    <n v="4171.1000000000004"/>
    <x v="1"/>
    <n v="0"/>
    <n v="4171.1000000000004"/>
  </r>
  <r>
    <s v="AR20682"/>
    <x v="1"/>
    <x v="482"/>
    <d v="2025-07-03T00:00:00"/>
    <n v="3794.84"/>
    <s v="GBP"/>
    <s v="Received"/>
    <d v="2025-07-03T00:00:00"/>
    <s v="Net 45"/>
    <b v="0"/>
    <n v="45"/>
    <n v="0"/>
    <x v="1"/>
    <n v="0"/>
    <x v="2"/>
    <n v="3794.84"/>
    <n v="0"/>
  </r>
  <r>
    <s v="AR20683"/>
    <x v="0"/>
    <x v="483"/>
    <d v="2023-07-14T00:00:00"/>
    <n v="778.03"/>
    <s v="AUD"/>
    <s v="Received"/>
    <d v="2023-07-14T00:00:00"/>
    <s v="Net 45"/>
    <b v="0"/>
    <n v="45"/>
    <n v="0"/>
    <x v="1"/>
    <n v="0"/>
    <x v="2"/>
    <n v="778.03"/>
    <n v="0"/>
  </r>
  <r>
    <s v="AR20684"/>
    <x v="0"/>
    <x v="395"/>
    <d v="2023-11-18T00:00:00"/>
    <n v="6025.55"/>
    <s v="USD"/>
    <s v="Partial"/>
    <m/>
    <s v="Net 45"/>
    <b v="1"/>
    <n v="847"/>
    <n v="802"/>
    <x v="0"/>
    <n v="6025.55"/>
    <x v="0"/>
    <n v="0"/>
    <n v="6025.55"/>
  </r>
  <r>
    <s v="AR20685"/>
    <x v="2"/>
    <x v="210"/>
    <d v="2024-04-09T00:00:00"/>
    <n v="4483.34"/>
    <s v="AUD"/>
    <s v="Partial"/>
    <m/>
    <s v="Net 45"/>
    <b v="1"/>
    <n v="704"/>
    <n v="659"/>
    <x v="0"/>
    <n v="4483.34"/>
    <x v="0"/>
    <n v="0"/>
    <n v="4483.34"/>
  </r>
  <r>
    <s v="AR20686"/>
    <x v="3"/>
    <x v="482"/>
    <d v="2025-07-03T00:00:00"/>
    <n v="1864.5"/>
    <s v="GBP"/>
    <s v="Open"/>
    <m/>
    <s v="Net 45"/>
    <b v="1"/>
    <n v="254"/>
    <n v="209"/>
    <x v="0"/>
    <n v="1864.5"/>
    <x v="1"/>
    <n v="0"/>
    <n v="1864.5"/>
  </r>
  <r>
    <s v="AR20687"/>
    <x v="3"/>
    <x v="177"/>
    <d v="2023-12-20T00:00:00"/>
    <n v="3805.4"/>
    <s v="CAD"/>
    <s v="Open"/>
    <m/>
    <s v="Net 45"/>
    <b v="1"/>
    <n v="815"/>
    <n v="770"/>
    <x v="0"/>
    <n v="3805.4"/>
    <x v="0"/>
    <n v="0"/>
    <n v="3805.4"/>
  </r>
  <r>
    <s v="AR20688"/>
    <x v="3"/>
    <x v="142"/>
    <d v="2023-07-29T00:00:00"/>
    <n v="3548.95"/>
    <s v="GBP"/>
    <s v="Open"/>
    <m/>
    <s v="Net 45"/>
    <b v="1"/>
    <n v="959"/>
    <n v="914"/>
    <x v="0"/>
    <n v="3548.95"/>
    <x v="0"/>
    <n v="0"/>
    <n v="3548.95"/>
  </r>
  <r>
    <s v="AR20689"/>
    <x v="0"/>
    <x v="484"/>
    <d v="2025-01-09T00:00:00"/>
    <n v="283.44"/>
    <s v="GBP"/>
    <s v="Open"/>
    <m/>
    <s v="Net 45"/>
    <b v="1"/>
    <n v="429"/>
    <n v="384"/>
    <x v="0"/>
    <n v="283.44"/>
    <x v="0"/>
    <n v="0"/>
    <n v="283.44"/>
  </r>
  <r>
    <s v="AR20690"/>
    <x v="4"/>
    <x v="5"/>
    <d v="2023-07-13T00:00:00"/>
    <n v="3193.11"/>
    <s v="GBP"/>
    <s v="Open"/>
    <m/>
    <s v="Net 45"/>
    <b v="1"/>
    <n v="975"/>
    <n v="930"/>
    <x v="0"/>
    <n v="3193.11"/>
    <x v="0"/>
    <n v="0"/>
    <n v="3193.11"/>
  </r>
  <r>
    <s v="AR20691"/>
    <x v="1"/>
    <x v="485"/>
    <d v="2023-03-06T00:00:00"/>
    <n v="2760.66"/>
    <s v="AUD"/>
    <s v="Partial"/>
    <m/>
    <s v="Net 45"/>
    <b v="1"/>
    <n v="1104"/>
    <n v="1059"/>
    <x v="0"/>
    <n v="2760.66"/>
    <x v="0"/>
    <n v="0"/>
    <n v="2760.66"/>
  </r>
  <r>
    <s v="AR20692"/>
    <x v="4"/>
    <x v="417"/>
    <d v="2024-07-22T00:00:00"/>
    <n v="5320.56"/>
    <s v="AUD"/>
    <s v="Received"/>
    <d v="2024-07-22T00:00:00"/>
    <s v="Net 45"/>
    <b v="0"/>
    <n v="45"/>
    <n v="0"/>
    <x v="1"/>
    <n v="0"/>
    <x v="2"/>
    <n v="5320.56"/>
    <n v="0"/>
  </r>
  <r>
    <s v="AR20693"/>
    <x v="2"/>
    <x v="240"/>
    <d v="2023-03-07T00:00:00"/>
    <n v="4442.5200000000004"/>
    <s v="GBP"/>
    <s v="Partial"/>
    <m/>
    <s v="Net 45"/>
    <b v="1"/>
    <n v="1103"/>
    <n v="1058"/>
    <x v="0"/>
    <n v="4442.5200000000004"/>
    <x v="0"/>
    <n v="0"/>
    <n v="4442.5200000000004"/>
  </r>
  <r>
    <s v="AR20694"/>
    <x v="3"/>
    <x v="67"/>
    <d v="2023-11-15T00:00:00"/>
    <n v="6614.86"/>
    <s v="EUR"/>
    <s v="Partial"/>
    <m/>
    <s v="Net 45"/>
    <b v="1"/>
    <n v="850"/>
    <n v="805"/>
    <x v="0"/>
    <n v="6614.86"/>
    <x v="0"/>
    <n v="0"/>
    <n v="6614.86"/>
  </r>
  <r>
    <s v="AR20695"/>
    <x v="3"/>
    <x v="486"/>
    <d v="2024-12-26T00:00:00"/>
    <n v="2556.04"/>
    <s v="USD"/>
    <s v="Partial"/>
    <m/>
    <s v="Net 45"/>
    <b v="1"/>
    <n v="443"/>
    <n v="398"/>
    <x v="0"/>
    <n v="2556.04"/>
    <x v="0"/>
    <n v="0"/>
    <n v="2556.04"/>
  </r>
  <r>
    <s v="AR20696"/>
    <x v="0"/>
    <x v="487"/>
    <d v="2024-10-03T00:00:00"/>
    <n v="2111.52"/>
    <s v="AUD"/>
    <s v="Open"/>
    <m/>
    <s v="Net 45"/>
    <b v="1"/>
    <n v="527"/>
    <n v="482"/>
    <x v="0"/>
    <n v="2111.52"/>
    <x v="0"/>
    <n v="0"/>
    <n v="2111.52"/>
  </r>
  <r>
    <s v="AR20697"/>
    <x v="2"/>
    <x v="488"/>
    <d v="2024-05-05T00:00:00"/>
    <n v="982.36"/>
    <s v="EUR"/>
    <s v="Partial"/>
    <m/>
    <s v="Net 45"/>
    <b v="1"/>
    <n v="678"/>
    <n v="633"/>
    <x v="0"/>
    <n v="982.36"/>
    <x v="0"/>
    <n v="0"/>
    <n v="982.36"/>
  </r>
  <r>
    <s v="AR20698"/>
    <x v="3"/>
    <x v="340"/>
    <d v="2024-04-25T00:00:00"/>
    <n v="5662.81"/>
    <s v="EUR"/>
    <s v="Partial"/>
    <m/>
    <s v="Net 45"/>
    <b v="1"/>
    <n v="688"/>
    <n v="643"/>
    <x v="0"/>
    <n v="5662.81"/>
    <x v="0"/>
    <n v="0"/>
    <n v="5662.81"/>
  </r>
  <r>
    <s v="AR20699"/>
    <x v="0"/>
    <x v="489"/>
    <d v="2024-07-13T00:00:00"/>
    <n v="5466.25"/>
    <s v="EUR"/>
    <s v="Partial"/>
    <m/>
    <s v="Net 45"/>
    <b v="1"/>
    <n v="609"/>
    <n v="564"/>
    <x v="0"/>
    <n v="5466.25"/>
    <x v="0"/>
    <n v="0"/>
    <n v="5466.25"/>
  </r>
  <r>
    <s v="AR20700"/>
    <x v="0"/>
    <x v="154"/>
    <d v="2024-04-17T00:00:00"/>
    <n v="5790.42"/>
    <s v="EUR"/>
    <s v="Partial"/>
    <m/>
    <s v="Net 45"/>
    <b v="1"/>
    <n v="696"/>
    <n v="651"/>
    <x v="0"/>
    <n v="5790.42"/>
    <x v="0"/>
    <n v="0"/>
    <n v="5790.42"/>
  </r>
  <r>
    <s v="AR20701"/>
    <x v="2"/>
    <x v="490"/>
    <d v="2024-01-22T00:00:00"/>
    <n v="5414.66"/>
    <s v="EUR"/>
    <s v="Received"/>
    <d v="2024-01-22T00:00:00"/>
    <s v="Net 45"/>
    <b v="0"/>
    <n v="45"/>
    <n v="0"/>
    <x v="1"/>
    <n v="0"/>
    <x v="2"/>
    <n v="5414.66"/>
    <n v="0"/>
  </r>
  <r>
    <s v="AR20702"/>
    <x v="4"/>
    <x v="155"/>
    <d v="2023-10-25T00:00:00"/>
    <n v="3252.33"/>
    <s v="GBP"/>
    <s v="Open"/>
    <m/>
    <s v="Net 45"/>
    <b v="1"/>
    <n v="871"/>
    <n v="826"/>
    <x v="0"/>
    <n v="3252.33"/>
    <x v="0"/>
    <n v="0"/>
    <n v="3252.33"/>
  </r>
  <r>
    <s v="AR20703"/>
    <x v="3"/>
    <x v="491"/>
    <d v="2024-03-12T00:00:00"/>
    <n v="4304.96"/>
    <s v="USD"/>
    <s v="Received"/>
    <d v="2024-03-12T00:00:00"/>
    <s v="Net 45"/>
    <b v="0"/>
    <n v="45"/>
    <n v="0"/>
    <x v="1"/>
    <n v="0"/>
    <x v="2"/>
    <n v="4304.96"/>
    <n v="0"/>
  </r>
  <r>
    <s v="AR20704"/>
    <x v="3"/>
    <x v="454"/>
    <d v="2025-07-24T00:00:00"/>
    <n v="1447.17"/>
    <s v="CAD"/>
    <s v="Partial"/>
    <m/>
    <s v="Net 45"/>
    <b v="1"/>
    <n v="233"/>
    <n v="188"/>
    <x v="0"/>
    <n v="1447.17"/>
    <x v="1"/>
    <n v="0"/>
    <n v="1447.17"/>
  </r>
  <r>
    <s v="AR20705"/>
    <x v="0"/>
    <x v="492"/>
    <d v="2024-09-19T00:00:00"/>
    <n v="7506.22"/>
    <s v="AUD"/>
    <s v="Open"/>
    <m/>
    <s v="Net 45"/>
    <b v="1"/>
    <n v="541"/>
    <n v="496"/>
    <x v="0"/>
    <n v="7506.22"/>
    <x v="0"/>
    <n v="0"/>
    <n v="7506.22"/>
  </r>
  <r>
    <s v="AR20706"/>
    <x v="3"/>
    <x v="425"/>
    <d v="2025-05-29T00:00:00"/>
    <n v="7912.6"/>
    <s v="USD"/>
    <s v="Partial"/>
    <m/>
    <s v="Net 45"/>
    <b v="1"/>
    <n v="289"/>
    <n v="244"/>
    <x v="0"/>
    <n v="7912.6"/>
    <x v="1"/>
    <n v="0"/>
    <n v="7912.6"/>
  </r>
  <r>
    <s v="AR20707"/>
    <x v="3"/>
    <x v="493"/>
    <d v="2023-09-22T00:00:00"/>
    <n v="4014.31"/>
    <s v="CAD"/>
    <s v="Received"/>
    <d v="2023-09-22T00:00:00"/>
    <s v="Net 45"/>
    <b v="0"/>
    <n v="45"/>
    <n v="0"/>
    <x v="1"/>
    <n v="0"/>
    <x v="2"/>
    <n v="4014.31"/>
    <n v="0"/>
  </r>
  <r>
    <s v="AR20708"/>
    <x v="4"/>
    <x v="199"/>
    <d v="2023-04-11T00:00:00"/>
    <n v="6682.82"/>
    <s v="EUR"/>
    <s v="Open"/>
    <m/>
    <s v="Net 45"/>
    <b v="1"/>
    <n v="1068"/>
    <n v="1023"/>
    <x v="0"/>
    <n v="6682.82"/>
    <x v="0"/>
    <n v="0"/>
    <n v="6682.82"/>
  </r>
  <r>
    <s v="AR20709"/>
    <x v="4"/>
    <x v="494"/>
    <d v="2024-12-13T00:00:00"/>
    <n v="4718.18"/>
    <s v="GBP"/>
    <s v="Partial"/>
    <m/>
    <s v="Net 45"/>
    <b v="1"/>
    <n v="456"/>
    <n v="411"/>
    <x v="0"/>
    <n v="4718.18"/>
    <x v="0"/>
    <n v="0"/>
    <n v="4718.18"/>
  </r>
  <r>
    <s v="AR20710"/>
    <x v="0"/>
    <x v="495"/>
    <d v="2025-05-21T00:00:00"/>
    <n v="5413.68"/>
    <s v="GBP"/>
    <s v="Partial"/>
    <m/>
    <s v="Net 45"/>
    <b v="1"/>
    <n v="297"/>
    <n v="252"/>
    <x v="0"/>
    <n v="5413.68"/>
    <x v="1"/>
    <n v="0"/>
    <n v="5413.68"/>
  </r>
  <r>
    <s v="AR20711"/>
    <x v="3"/>
    <x v="253"/>
    <d v="2025-05-04T00:00:00"/>
    <n v="5711.55"/>
    <s v="GBP"/>
    <s v="Received"/>
    <d v="2025-05-04T00:00:00"/>
    <s v="Net 45"/>
    <b v="0"/>
    <n v="45"/>
    <n v="0"/>
    <x v="1"/>
    <n v="0"/>
    <x v="2"/>
    <n v="5711.55"/>
    <n v="0"/>
  </r>
  <r>
    <s v="AR20712"/>
    <x v="1"/>
    <x v="114"/>
    <d v="2025-06-04T00:00:00"/>
    <n v="1016.83"/>
    <s v="AUD"/>
    <s v="Open"/>
    <m/>
    <s v="Net 45"/>
    <b v="1"/>
    <n v="283"/>
    <n v="238"/>
    <x v="0"/>
    <n v="1016.83"/>
    <x v="1"/>
    <n v="0"/>
    <n v="1016.83"/>
  </r>
  <r>
    <s v="AR20713"/>
    <x v="3"/>
    <x v="396"/>
    <d v="2023-07-05T00:00:00"/>
    <n v="4967.9399999999996"/>
    <s v="EUR"/>
    <s v="Partial"/>
    <m/>
    <s v="Net 45"/>
    <b v="1"/>
    <n v="983"/>
    <n v="938"/>
    <x v="0"/>
    <n v="4967.9399999999996"/>
    <x v="0"/>
    <n v="0"/>
    <n v="4967.9399999999996"/>
  </r>
  <r>
    <s v="AR20714"/>
    <x v="2"/>
    <x v="227"/>
    <d v="2023-03-25T00:00:00"/>
    <n v="1921.94"/>
    <s v="CAD"/>
    <s v="Received"/>
    <d v="2023-03-25T00:00:00"/>
    <s v="Net 45"/>
    <b v="0"/>
    <n v="45"/>
    <n v="0"/>
    <x v="1"/>
    <n v="0"/>
    <x v="2"/>
    <n v="1921.94"/>
    <n v="0"/>
  </r>
  <r>
    <s v="AR20715"/>
    <x v="0"/>
    <x v="407"/>
    <d v="2025-05-17T00:00:00"/>
    <n v="2725.11"/>
    <s v="CAD"/>
    <s v="Open"/>
    <m/>
    <s v="Net 45"/>
    <b v="1"/>
    <n v="301"/>
    <n v="256"/>
    <x v="0"/>
    <n v="2725.11"/>
    <x v="1"/>
    <n v="0"/>
    <n v="2725.11"/>
  </r>
  <r>
    <s v="AR20716"/>
    <x v="2"/>
    <x v="470"/>
    <d v="2023-07-04T00:00:00"/>
    <n v="7384.94"/>
    <s v="AUD"/>
    <s v="Received"/>
    <d v="2023-07-04T00:00:00"/>
    <s v="Net 45"/>
    <b v="0"/>
    <n v="45"/>
    <n v="0"/>
    <x v="1"/>
    <n v="0"/>
    <x v="2"/>
    <n v="7384.94"/>
    <n v="0"/>
  </r>
  <r>
    <s v="AR20717"/>
    <x v="4"/>
    <x v="310"/>
    <d v="2024-10-21T00:00:00"/>
    <n v="379.48"/>
    <s v="EUR"/>
    <s v="Partial"/>
    <m/>
    <s v="Net 45"/>
    <b v="1"/>
    <n v="509"/>
    <n v="464"/>
    <x v="0"/>
    <n v="379.48"/>
    <x v="0"/>
    <n v="0"/>
    <n v="379.48"/>
  </r>
  <r>
    <s v="AR20718"/>
    <x v="4"/>
    <x v="321"/>
    <d v="2024-05-26T00:00:00"/>
    <n v="7372.24"/>
    <s v="USD"/>
    <s v="Open"/>
    <m/>
    <s v="Net 45"/>
    <b v="1"/>
    <n v="657"/>
    <n v="612"/>
    <x v="0"/>
    <n v="7372.24"/>
    <x v="0"/>
    <n v="0"/>
    <n v="7372.24"/>
  </r>
  <r>
    <s v="AR20719"/>
    <x v="4"/>
    <x v="474"/>
    <d v="2023-05-23T00:00:00"/>
    <n v="4620.79"/>
    <s v="GBP"/>
    <s v="Received"/>
    <d v="2023-05-23T00:00:00"/>
    <s v="Net 45"/>
    <b v="0"/>
    <n v="45"/>
    <n v="0"/>
    <x v="1"/>
    <n v="0"/>
    <x v="2"/>
    <n v="4620.79"/>
    <n v="0"/>
  </r>
  <r>
    <s v="AR20720"/>
    <x v="3"/>
    <x v="87"/>
    <d v="2023-06-30T00:00:00"/>
    <n v="528.38"/>
    <s v="USD"/>
    <s v="Open"/>
    <m/>
    <s v="Net 45"/>
    <b v="1"/>
    <n v="988"/>
    <n v="943"/>
    <x v="0"/>
    <n v="528.38"/>
    <x v="0"/>
    <n v="0"/>
    <n v="528.38"/>
  </r>
  <r>
    <s v="AR20721"/>
    <x v="2"/>
    <x v="496"/>
    <d v="2024-09-25T00:00:00"/>
    <n v="6586.87"/>
    <s v="GBP"/>
    <s v="Partial"/>
    <m/>
    <s v="Net 45"/>
    <b v="1"/>
    <n v="535"/>
    <n v="490"/>
    <x v="0"/>
    <n v="6586.87"/>
    <x v="0"/>
    <n v="0"/>
    <n v="6586.87"/>
  </r>
  <r>
    <s v="AR20722"/>
    <x v="1"/>
    <x v="407"/>
    <d v="2025-05-17T00:00:00"/>
    <n v="1050.93"/>
    <s v="EUR"/>
    <s v="Partial"/>
    <m/>
    <s v="Net 45"/>
    <b v="1"/>
    <n v="301"/>
    <n v="256"/>
    <x v="0"/>
    <n v="1050.93"/>
    <x v="1"/>
    <n v="0"/>
    <n v="1050.93"/>
  </r>
  <r>
    <s v="AR20723"/>
    <x v="0"/>
    <x v="497"/>
    <d v="2024-10-28T00:00:00"/>
    <n v="3679.18"/>
    <s v="CAD"/>
    <s v="Received"/>
    <d v="2024-10-28T00:00:00"/>
    <s v="Net 45"/>
    <b v="0"/>
    <n v="45"/>
    <n v="0"/>
    <x v="1"/>
    <n v="0"/>
    <x v="2"/>
    <n v="3679.18"/>
    <n v="0"/>
  </r>
  <r>
    <s v="AR20724"/>
    <x v="1"/>
    <x v="132"/>
    <d v="2024-06-12T00:00:00"/>
    <n v="7286.86"/>
    <s v="USD"/>
    <s v="Received"/>
    <d v="2024-06-12T00:00:00"/>
    <s v="Net 45"/>
    <b v="0"/>
    <n v="45"/>
    <n v="0"/>
    <x v="1"/>
    <n v="0"/>
    <x v="2"/>
    <n v="7286.86"/>
    <n v="0"/>
  </r>
  <r>
    <s v="AR20725"/>
    <x v="0"/>
    <x v="498"/>
    <d v="2024-03-30T00:00:00"/>
    <n v="2238.7600000000002"/>
    <s v="AUD"/>
    <s v="Partial"/>
    <m/>
    <s v="Net 45"/>
    <b v="1"/>
    <n v="714"/>
    <n v="669"/>
    <x v="0"/>
    <n v="2238.7600000000002"/>
    <x v="0"/>
    <n v="0"/>
    <n v="2238.7600000000002"/>
  </r>
  <r>
    <s v="AR20726"/>
    <x v="1"/>
    <x v="292"/>
    <d v="2024-05-04T00:00:00"/>
    <n v="6394.62"/>
    <s v="AUD"/>
    <s v="Partial"/>
    <m/>
    <s v="Net 45"/>
    <b v="1"/>
    <n v="679"/>
    <n v="634"/>
    <x v="0"/>
    <n v="6394.62"/>
    <x v="0"/>
    <n v="0"/>
    <n v="6394.62"/>
  </r>
  <r>
    <s v="AR20727"/>
    <x v="3"/>
    <x v="499"/>
    <d v="2023-07-18T00:00:00"/>
    <n v="7492.09"/>
    <s v="CAD"/>
    <s v="Open"/>
    <m/>
    <s v="Net 45"/>
    <b v="1"/>
    <n v="970"/>
    <n v="925"/>
    <x v="0"/>
    <n v="7492.09"/>
    <x v="0"/>
    <n v="0"/>
    <n v="7492.09"/>
  </r>
  <r>
    <s v="AR20728"/>
    <x v="0"/>
    <x v="500"/>
    <d v="2025-05-01T00:00:00"/>
    <n v="4830.54"/>
    <s v="EUR"/>
    <s v="Partial"/>
    <m/>
    <s v="Net 45"/>
    <b v="1"/>
    <n v="317"/>
    <n v="272"/>
    <x v="0"/>
    <n v="4830.54"/>
    <x v="1"/>
    <n v="0"/>
    <n v="4830.54"/>
  </r>
  <r>
    <s v="AR20729"/>
    <x v="1"/>
    <x v="501"/>
    <d v="2025-07-26T00:00:00"/>
    <n v="4670.08"/>
    <s v="GBP"/>
    <s v="Partial"/>
    <m/>
    <s v="Net 45"/>
    <b v="1"/>
    <n v="231"/>
    <n v="186"/>
    <x v="0"/>
    <n v="4670.08"/>
    <x v="1"/>
    <n v="0"/>
    <n v="4670.08"/>
  </r>
  <r>
    <s v="AR20730"/>
    <x v="0"/>
    <x v="502"/>
    <d v="2025-02-23T00:00:00"/>
    <n v="6954.16"/>
    <s v="GBP"/>
    <s v="Received"/>
    <d v="2025-02-23T00:00:00"/>
    <s v="Net 45"/>
    <b v="0"/>
    <n v="45"/>
    <n v="0"/>
    <x v="1"/>
    <n v="0"/>
    <x v="2"/>
    <n v="6954.16"/>
    <n v="0"/>
  </r>
  <r>
    <s v="AR20731"/>
    <x v="1"/>
    <x v="503"/>
    <d v="2023-04-29T00:00:00"/>
    <n v="4219.6099999999997"/>
    <s v="EUR"/>
    <s v="Partial"/>
    <m/>
    <s v="Net 45"/>
    <b v="1"/>
    <n v="1050"/>
    <n v="1005"/>
    <x v="0"/>
    <n v="4219.6099999999997"/>
    <x v="0"/>
    <n v="0"/>
    <n v="4219.6099999999997"/>
  </r>
  <r>
    <s v="AR20732"/>
    <x v="4"/>
    <x v="302"/>
    <d v="2024-03-28T00:00:00"/>
    <n v="7672.81"/>
    <s v="GBP"/>
    <s v="Received"/>
    <d v="2024-03-28T00:00:00"/>
    <s v="Net 45"/>
    <b v="0"/>
    <n v="45"/>
    <n v="0"/>
    <x v="1"/>
    <n v="0"/>
    <x v="2"/>
    <n v="7672.81"/>
    <n v="0"/>
  </r>
  <r>
    <s v="AR20733"/>
    <x v="3"/>
    <x v="475"/>
    <d v="2025-05-15T00:00:00"/>
    <n v="3127.27"/>
    <s v="AUD"/>
    <s v="Partial"/>
    <m/>
    <s v="Net 45"/>
    <b v="1"/>
    <n v="303"/>
    <n v="258"/>
    <x v="0"/>
    <n v="3127.27"/>
    <x v="1"/>
    <n v="0"/>
    <n v="3127.27"/>
  </r>
  <r>
    <s v="AR20734"/>
    <x v="3"/>
    <x v="504"/>
    <d v="2024-11-15T00:00:00"/>
    <n v="2341.1999999999998"/>
    <s v="USD"/>
    <s v="Received"/>
    <d v="2024-11-15T00:00:00"/>
    <s v="Net 45"/>
    <b v="0"/>
    <n v="45"/>
    <n v="0"/>
    <x v="1"/>
    <n v="0"/>
    <x v="2"/>
    <n v="2341.1999999999998"/>
    <n v="0"/>
  </r>
  <r>
    <s v="AR20735"/>
    <x v="1"/>
    <x v="505"/>
    <d v="2024-12-14T00:00:00"/>
    <n v="5614.34"/>
    <s v="USD"/>
    <s v="Partial"/>
    <m/>
    <s v="Net 45"/>
    <b v="1"/>
    <n v="455"/>
    <n v="410"/>
    <x v="0"/>
    <n v="5614.34"/>
    <x v="0"/>
    <n v="0"/>
    <n v="5614.34"/>
  </r>
  <r>
    <s v="AR20736"/>
    <x v="4"/>
    <x v="70"/>
    <d v="2023-03-16T00:00:00"/>
    <n v="7144.44"/>
    <s v="EUR"/>
    <s v="Partial"/>
    <m/>
    <s v="Net 45"/>
    <b v="1"/>
    <n v="1094"/>
    <n v="1049"/>
    <x v="0"/>
    <n v="7144.44"/>
    <x v="0"/>
    <n v="0"/>
    <n v="7144.44"/>
  </r>
  <r>
    <s v="AR20737"/>
    <x v="4"/>
    <x v="506"/>
    <d v="2023-09-12T00:00:00"/>
    <n v="5084.83"/>
    <s v="CAD"/>
    <s v="Received"/>
    <d v="2023-09-12T00:00:00"/>
    <s v="Net 45"/>
    <b v="0"/>
    <n v="45"/>
    <n v="0"/>
    <x v="1"/>
    <n v="0"/>
    <x v="2"/>
    <n v="5084.83"/>
    <n v="0"/>
  </r>
  <r>
    <s v="AR20738"/>
    <x v="2"/>
    <x v="507"/>
    <d v="2025-06-27T00:00:00"/>
    <n v="4558.47"/>
    <s v="USD"/>
    <s v="Open"/>
    <m/>
    <s v="Net 45"/>
    <b v="1"/>
    <n v="260"/>
    <n v="215"/>
    <x v="0"/>
    <n v="4558.47"/>
    <x v="1"/>
    <n v="0"/>
    <n v="4558.47"/>
  </r>
  <r>
    <s v="AR20739"/>
    <x v="3"/>
    <x v="508"/>
    <d v="2023-10-26T00:00:00"/>
    <n v="7477.62"/>
    <s v="CAD"/>
    <s v="Received"/>
    <d v="2023-10-26T00:00:00"/>
    <s v="Net 45"/>
    <b v="0"/>
    <n v="45"/>
    <n v="0"/>
    <x v="1"/>
    <n v="0"/>
    <x v="2"/>
    <n v="7477.62"/>
    <n v="0"/>
  </r>
  <r>
    <s v="AR20740"/>
    <x v="1"/>
    <x v="488"/>
    <d v="2024-05-05T00:00:00"/>
    <n v="2809.92"/>
    <s v="GBP"/>
    <s v="Received"/>
    <d v="2024-05-05T00:00:00"/>
    <s v="Net 45"/>
    <b v="0"/>
    <n v="45"/>
    <n v="0"/>
    <x v="1"/>
    <n v="0"/>
    <x v="2"/>
    <n v="2809.92"/>
    <n v="0"/>
  </r>
  <r>
    <s v="AR20741"/>
    <x v="1"/>
    <x v="181"/>
    <d v="2023-03-08T00:00:00"/>
    <n v="1528"/>
    <s v="USD"/>
    <s v="Partial"/>
    <m/>
    <s v="Net 45"/>
    <b v="1"/>
    <n v="1102"/>
    <n v="1057"/>
    <x v="0"/>
    <n v="1528"/>
    <x v="0"/>
    <n v="0"/>
    <n v="1528"/>
  </r>
  <r>
    <s v="AR20742"/>
    <x v="0"/>
    <x v="152"/>
    <d v="2023-06-02T00:00:00"/>
    <n v="6314.46"/>
    <s v="AUD"/>
    <s v="Received"/>
    <d v="2023-06-02T00:00:00"/>
    <s v="Net 45"/>
    <b v="0"/>
    <n v="45"/>
    <n v="0"/>
    <x v="1"/>
    <n v="0"/>
    <x v="2"/>
    <n v="6314.46"/>
    <n v="0"/>
  </r>
  <r>
    <s v="AR20743"/>
    <x v="1"/>
    <x v="509"/>
    <d v="2023-05-14T00:00:00"/>
    <n v="4757.3900000000003"/>
    <s v="GBP"/>
    <s v="Open"/>
    <m/>
    <s v="Net 45"/>
    <b v="1"/>
    <n v="1035"/>
    <n v="990"/>
    <x v="0"/>
    <n v="4757.3900000000003"/>
    <x v="0"/>
    <n v="0"/>
    <n v="4757.3900000000003"/>
  </r>
  <r>
    <s v="AR20744"/>
    <x v="1"/>
    <x v="499"/>
    <d v="2023-07-18T00:00:00"/>
    <n v="4061.27"/>
    <s v="CAD"/>
    <s v="Received"/>
    <d v="2023-07-18T00:00:00"/>
    <s v="Net 45"/>
    <b v="0"/>
    <n v="45"/>
    <n v="0"/>
    <x v="1"/>
    <n v="0"/>
    <x v="2"/>
    <n v="4061.27"/>
    <n v="0"/>
  </r>
  <r>
    <s v="AR20745"/>
    <x v="4"/>
    <x v="500"/>
    <d v="2025-05-01T00:00:00"/>
    <n v="1445.59"/>
    <s v="USD"/>
    <s v="Partial"/>
    <m/>
    <s v="Net 45"/>
    <b v="1"/>
    <n v="317"/>
    <n v="272"/>
    <x v="0"/>
    <n v="1445.59"/>
    <x v="1"/>
    <n v="0"/>
    <n v="1445.59"/>
  </r>
  <r>
    <s v="AR20746"/>
    <x v="3"/>
    <x v="510"/>
    <d v="2024-08-28T00:00:00"/>
    <n v="4549.8999999999996"/>
    <s v="CAD"/>
    <s v="Received"/>
    <d v="2024-08-28T00:00:00"/>
    <s v="Net 45"/>
    <b v="0"/>
    <n v="45"/>
    <n v="0"/>
    <x v="1"/>
    <n v="0"/>
    <x v="2"/>
    <n v="4549.8999999999996"/>
    <n v="0"/>
  </r>
  <r>
    <s v="AR20747"/>
    <x v="3"/>
    <x v="488"/>
    <d v="2024-05-05T00:00:00"/>
    <n v="5530.33"/>
    <s v="USD"/>
    <s v="Open"/>
    <m/>
    <s v="Net 45"/>
    <b v="1"/>
    <n v="678"/>
    <n v="633"/>
    <x v="0"/>
    <n v="5530.33"/>
    <x v="0"/>
    <n v="0"/>
    <n v="5530.33"/>
  </r>
  <r>
    <s v="AR20748"/>
    <x v="0"/>
    <x v="15"/>
    <d v="2025-06-13T00:00:00"/>
    <n v="2790.34"/>
    <s v="EUR"/>
    <s v="Partial"/>
    <m/>
    <s v="Net 45"/>
    <b v="1"/>
    <n v="274"/>
    <n v="229"/>
    <x v="0"/>
    <n v="2790.34"/>
    <x v="1"/>
    <n v="0"/>
    <n v="2790.34"/>
  </r>
  <r>
    <s v="AR20749"/>
    <x v="0"/>
    <x v="443"/>
    <d v="2024-02-27T00:00:00"/>
    <n v="7511.89"/>
    <s v="EUR"/>
    <s v="Partial"/>
    <m/>
    <s v="Net 45"/>
    <b v="1"/>
    <n v="746"/>
    <n v="701"/>
    <x v="0"/>
    <n v="7511.89"/>
    <x v="0"/>
    <n v="0"/>
    <n v="7511.89"/>
  </r>
  <r>
    <s v="AR20750"/>
    <x v="4"/>
    <x v="511"/>
    <d v="2025-01-02T00:00:00"/>
    <n v="7449.48"/>
    <s v="USD"/>
    <s v="Partial"/>
    <m/>
    <s v="Net 45"/>
    <b v="1"/>
    <n v="436"/>
    <n v="391"/>
    <x v="0"/>
    <n v="7449.48"/>
    <x v="0"/>
    <n v="0"/>
    <n v="7449.48"/>
  </r>
  <r>
    <s v="AR20751"/>
    <x v="0"/>
    <x v="512"/>
    <d v="2023-07-22T00:00:00"/>
    <n v="5701.18"/>
    <s v="EUR"/>
    <s v="Partial"/>
    <m/>
    <s v="Net 45"/>
    <b v="1"/>
    <n v="966"/>
    <n v="921"/>
    <x v="0"/>
    <n v="5701.18"/>
    <x v="0"/>
    <n v="0"/>
    <n v="5701.18"/>
  </r>
  <r>
    <s v="AR20752"/>
    <x v="1"/>
    <x v="513"/>
    <d v="2024-06-24T00:00:00"/>
    <n v="2707.82"/>
    <s v="EUR"/>
    <s v="Open"/>
    <m/>
    <s v="Net 45"/>
    <b v="1"/>
    <n v="628"/>
    <n v="583"/>
    <x v="0"/>
    <n v="2707.82"/>
    <x v="0"/>
    <n v="0"/>
    <n v="2707.82"/>
  </r>
  <r>
    <s v="AR20753"/>
    <x v="1"/>
    <x v="51"/>
    <d v="2025-03-03T00:00:00"/>
    <n v="289.7"/>
    <s v="EUR"/>
    <s v="Open"/>
    <m/>
    <s v="Net 45"/>
    <b v="1"/>
    <n v="376"/>
    <n v="331"/>
    <x v="0"/>
    <n v="289.7"/>
    <x v="1"/>
    <n v="0"/>
    <n v="289.7"/>
  </r>
  <r>
    <s v="AR20754"/>
    <x v="3"/>
    <x v="514"/>
    <d v="2025-07-23T00:00:00"/>
    <n v="3246.06"/>
    <s v="AUD"/>
    <s v="Partial"/>
    <m/>
    <s v="Net 45"/>
    <b v="1"/>
    <n v="234"/>
    <n v="189"/>
    <x v="0"/>
    <n v="3246.06"/>
    <x v="1"/>
    <n v="0"/>
    <n v="3246.06"/>
  </r>
  <r>
    <s v="AR20755"/>
    <x v="2"/>
    <x v="133"/>
    <d v="2023-11-01T00:00:00"/>
    <n v="2844.18"/>
    <s v="EUR"/>
    <s v="Received"/>
    <d v="2023-11-01T00:00:00"/>
    <s v="Net 45"/>
    <b v="0"/>
    <n v="45"/>
    <n v="0"/>
    <x v="1"/>
    <n v="0"/>
    <x v="2"/>
    <n v="2844.18"/>
    <n v="0"/>
  </r>
  <r>
    <s v="AR20756"/>
    <x v="0"/>
    <x v="286"/>
    <d v="2024-03-26T00:00:00"/>
    <n v="4564.2"/>
    <s v="CAD"/>
    <s v="Partial"/>
    <m/>
    <s v="Net 45"/>
    <b v="1"/>
    <n v="718"/>
    <n v="673"/>
    <x v="0"/>
    <n v="4564.2"/>
    <x v="0"/>
    <n v="0"/>
    <n v="4564.2"/>
  </r>
  <r>
    <s v="AR20757"/>
    <x v="1"/>
    <x v="444"/>
    <d v="2024-08-02T00:00:00"/>
    <n v="5995.72"/>
    <s v="USD"/>
    <s v="Received"/>
    <d v="2024-08-02T00:00:00"/>
    <s v="Net 45"/>
    <b v="0"/>
    <n v="45"/>
    <n v="0"/>
    <x v="1"/>
    <n v="0"/>
    <x v="2"/>
    <n v="5995.72"/>
    <n v="0"/>
  </r>
  <r>
    <s v="AR20758"/>
    <x v="2"/>
    <x v="96"/>
    <d v="2023-05-16T00:00:00"/>
    <n v="1249.92"/>
    <s v="GBP"/>
    <s v="Received"/>
    <d v="2023-05-16T00:00:00"/>
    <s v="Net 45"/>
    <b v="0"/>
    <n v="45"/>
    <n v="0"/>
    <x v="1"/>
    <n v="0"/>
    <x v="2"/>
    <n v="1249.92"/>
    <n v="0"/>
  </r>
  <r>
    <s v="AR20759"/>
    <x v="3"/>
    <x v="515"/>
    <d v="2024-01-04T00:00:00"/>
    <n v="417.53"/>
    <s v="USD"/>
    <s v="Received"/>
    <d v="2024-01-04T00:00:00"/>
    <s v="Net 45"/>
    <b v="0"/>
    <n v="45"/>
    <n v="0"/>
    <x v="1"/>
    <n v="0"/>
    <x v="2"/>
    <n v="417.53"/>
    <n v="0"/>
  </r>
  <r>
    <s v="AR20760"/>
    <x v="1"/>
    <x v="516"/>
    <d v="2024-06-27T00:00:00"/>
    <n v="555.04999999999995"/>
    <s v="AUD"/>
    <s v="Received"/>
    <d v="2024-06-27T00:00:00"/>
    <s v="Net 45"/>
    <b v="0"/>
    <n v="45"/>
    <n v="0"/>
    <x v="1"/>
    <n v="0"/>
    <x v="2"/>
    <n v="555.04999999999995"/>
    <n v="0"/>
  </r>
  <r>
    <s v="AR20761"/>
    <x v="1"/>
    <x v="1"/>
    <d v="2025-05-16T00:00:00"/>
    <n v="4786.58"/>
    <s v="USD"/>
    <s v="Received"/>
    <d v="2025-05-16T00:00:00"/>
    <s v="Net 45"/>
    <b v="0"/>
    <n v="45"/>
    <n v="0"/>
    <x v="1"/>
    <n v="0"/>
    <x v="2"/>
    <n v="4786.58"/>
    <n v="0"/>
  </r>
  <r>
    <s v="AR20762"/>
    <x v="4"/>
    <x v="180"/>
    <d v="2023-02-22T00:00:00"/>
    <n v="4534.3999999999996"/>
    <s v="EUR"/>
    <s v="Received"/>
    <d v="2023-02-22T00:00:00"/>
    <s v="Net 45"/>
    <b v="0"/>
    <n v="45"/>
    <n v="0"/>
    <x v="1"/>
    <n v="0"/>
    <x v="2"/>
    <n v="4534.3999999999996"/>
    <n v="0"/>
  </r>
  <r>
    <s v="AR20763"/>
    <x v="0"/>
    <x v="187"/>
    <d v="2023-12-31T00:00:00"/>
    <n v="5553.38"/>
    <s v="AUD"/>
    <s v="Received"/>
    <d v="2023-12-31T00:00:00"/>
    <s v="Net 45"/>
    <b v="0"/>
    <n v="45"/>
    <n v="0"/>
    <x v="1"/>
    <n v="0"/>
    <x v="2"/>
    <n v="5553.38"/>
    <n v="0"/>
  </r>
  <r>
    <s v="AR20764"/>
    <x v="4"/>
    <x v="83"/>
    <d v="2023-09-18T00:00:00"/>
    <n v="4181.1899999999996"/>
    <s v="AUD"/>
    <s v="Open"/>
    <m/>
    <s v="Net 45"/>
    <b v="1"/>
    <n v="908"/>
    <n v="863"/>
    <x v="0"/>
    <n v="4181.1899999999996"/>
    <x v="0"/>
    <n v="0"/>
    <n v="4181.1899999999996"/>
  </r>
  <r>
    <s v="AR20765"/>
    <x v="0"/>
    <x v="517"/>
    <d v="2024-07-27T00:00:00"/>
    <n v="2073.36"/>
    <s v="GBP"/>
    <s v="Received"/>
    <d v="2024-07-27T00:00:00"/>
    <s v="Net 45"/>
    <b v="0"/>
    <n v="45"/>
    <n v="0"/>
    <x v="1"/>
    <n v="0"/>
    <x v="2"/>
    <n v="2073.36"/>
    <n v="0"/>
  </r>
  <r>
    <s v="AR20766"/>
    <x v="3"/>
    <x v="518"/>
    <d v="2024-10-06T00:00:00"/>
    <n v="5261.47"/>
    <s v="USD"/>
    <s v="Open"/>
    <m/>
    <s v="Net 45"/>
    <b v="1"/>
    <n v="524"/>
    <n v="479"/>
    <x v="0"/>
    <n v="5261.47"/>
    <x v="0"/>
    <n v="0"/>
    <n v="5261.47"/>
  </r>
  <r>
    <s v="AR20767"/>
    <x v="4"/>
    <x v="304"/>
    <d v="2024-01-17T00:00:00"/>
    <n v="4961.4399999999996"/>
    <s v="AUD"/>
    <s v="Open"/>
    <m/>
    <s v="Net 45"/>
    <b v="1"/>
    <n v="787"/>
    <n v="742"/>
    <x v="0"/>
    <n v="4961.4399999999996"/>
    <x v="0"/>
    <n v="0"/>
    <n v="4961.4399999999996"/>
  </r>
  <r>
    <s v="AR20768"/>
    <x v="0"/>
    <x v="519"/>
    <d v="2025-07-17T00:00:00"/>
    <n v="3635.6"/>
    <s v="GBP"/>
    <s v="Received"/>
    <d v="2025-07-17T00:00:00"/>
    <s v="Net 45"/>
    <b v="0"/>
    <n v="45"/>
    <n v="0"/>
    <x v="1"/>
    <n v="0"/>
    <x v="2"/>
    <n v="3635.6"/>
    <n v="0"/>
  </r>
  <r>
    <s v="AR20769"/>
    <x v="1"/>
    <x v="258"/>
    <d v="2025-06-18T00:00:00"/>
    <n v="556.26"/>
    <s v="GBP"/>
    <s v="Open"/>
    <m/>
    <s v="Net 45"/>
    <b v="1"/>
    <n v="269"/>
    <n v="224"/>
    <x v="0"/>
    <n v="556.26"/>
    <x v="1"/>
    <n v="0"/>
    <n v="556.26"/>
  </r>
  <r>
    <s v="AR20770"/>
    <x v="4"/>
    <x v="157"/>
    <d v="2025-05-20T00:00:00"/>
    <n v="3646.79"/>
    <s v="EUR"/>
    <s v="Open"/>
    <m/>
    <s v="Net 45"/>
    <b v="1"/>
    <n v="298"/>
    <n v="253"/>
    <x v="0"/>
    <n v="3646.79"/>
    <x v="1"/>
    <n v="0"/>
    <n v="3646.79"/>
  </r>
  <r>
    <s v="AR20771"/>
    <x v="2"/>
    <x v="520"/>
    <d v="2024-07-16T00:00:00"/>
    <n v="3481.23"/>
    <s v="CAD"/>
    <s v="Received"/>
    <d v="2024-07-16T00:00:00"/>
    <s v="Net 45"/>
    <b v="0"/>
    <n v="45"/>
    <n v="0"/>
    <x v="1"/>
    <n v="0"/>
    <x v="2"/>
    <n v="3481.23"/>
    <n v="0"/>
  </r>
  <r>
    <s v="AR20772"/>
    <x v="3"/>
    <x v="202"/>
    <d v="2023-05-12T00:00:00"/>
    <n v="5455.28"/>
    <s v="EUR"/>
    <s v="Received"/>
    <d v="2023-05-12T00:00:00"/>
    <s v="Net 45"/>
    <b v="0"/>
    <n v="45"/>
    <n v="0"/>
    <x v="1"/>
    <n v="0"/>
    <x v="2"/>
    <n v="5455.28"/>
    <n v="0"/>
  </r>
  <r>
    <s v="AR20773"/>
    <x v="1"/>
    <x v="521"/>
    <d v="2024-08-17T00:00:00"/>
    <n v="878.36"/>
    <s v="GBP"/>
    <s v="Received"/>
    <d v="2024-08-17T00:00:00"/>
    <s v="Net 45"/>
    <b v="0"/>
    <n v="45"/>
    <n v="0"/>
    <x v="1"/>
    <n v="0"/>
    <x v="2"/>
    <n v="878.36"/>
    <n v="0"/>
  </r>
  <r>
    <s v="AR20774"/>
    <x v="3"/>
    <x v="522"/>
    <d v="2024-05-29T00:00:00"/>
    <n v="3961.35"/>
    <s v="GBP"/>
    <s v="Partial"/>
    <m/>
    <s v="Net 45"/>
    <b v="1"/>
    <n v="654"/>
    <n v="609"/>
    <x v="0"/>
    <n v="3961.35"/>
    <x v="0"/>
    <n v="0"/>
    <n v="3961.35"/>
  </r>
  <r>
    <s v="AR20775"/>
    <x v="2"/>
    <x v="16"/>
    <d v="2025-06-30T00:00:00"/>
    <n v="1826.28"/>
    <s v="GBP"/>
    <s v="Received"/>
    <d v="2025-06-30T00:00:00"/>
    <s v="Net 45"/>
    <b v="0"/>
    <n v="45"/>
    <n v="0"/>
    <x v="1"/>
    <n v="0"/>
    <x v="2"/>
    <n v="1826.28"/>
    <n v="0"/>
  </r>
  <r>
    <s v="AR20776"/>
    <x v="3"/>
    <x v="387"/>
    <d v="2023-03-13T00:00:00"/>
    <n v="1812.47"/>
    <s v="EUR"/>
    <s v="Partial"/>
    <m/>
    <s v="Net 45"/>
    <b v="1"/>
    <n v="1097"/>
    <n v="1052"/>
    <x v="0"/>
    <n v="1812.47"/>
    <x v="0"/>
    <n v="0"/>
    <n v="1812.47"/>
  </r>
  <r>
    <s v="AR20777"/>
    <x v="4"/>
    <x v="523"/>
    <d v="2025-01-29T00:00:00"/>
    <n v="661.49"/>
    <s v="USD"/>
    <s v="Open"/>
    <m/>
    <s v="Net 45"/>
    <b v="1"/>
    <n v="409"/>
    <n v="364"/>
    <x v="0"/>
    <n v="661.49"/>
    <x v="1"/>
    <n v="0"/>
    <n v="661.49"/>
  </r>
  <r>
    <s v="AR20778"/>
    <x v="0"/>
    <x v="524"/>
    <d v="2025-02-25T00:00:00"/>
    <n v="5875.17"/>
    <s v="EUR"/>
    <s v="Received"/>
    <d v="2025-02-25T00:00:00"/>
    <s v="Net 45"/>
    <b v="0"/>
    <n v="45"/>
    <n v="0"/>
    <x v="1"/>
    <n v="0"/>
    <x v="2"/>
    <n v="5875.17"/>
    <n v="0"/>
  </r>
  <r>
    <s v="AR20779"/>
    <x v="1"/>
    <x v="108"/>
    <d v="2024-06-06T00:00:00"/>
    <n v="6564.03"/>
    <s v="CAD"/>
    <s v="Received"/>
    <d v="2024-06-06T00:00:00"/>
    <s v="Net 45"/>
    <b v="0"/>
    <n v="45"/>
    <n v="0"/>
    <x v="1"/>
    <n v="0"/>
    <x v="2"/>
    <n v="6564.03"/>
    <n v="0"/>
  </r>
  <r>
    <s v="AR20780"/>
    <x v="0"/>
    <x v="525"/>
    <d v="2023-02-26T00:00:00"/>
    <n v="5553.31"/>
    <s v="GBP"/>
    <s v="Received"/>
    <d v="2023-02-26T00:00:00"/>
    <s v="Net 45"/>
    <b v="0"/>
    <n v="45"/>
    <n v="0"/>
    <x v="1"/>
    <n v="0"/>
    <x v="2"/>
    <n v="5553.31"/>
    <n v="0"/>
  </r>
  <r>
    <s v="AR20781"/>
    <x v="3"/>
    <x v="434"/>
    <d v="2024-04-02T00:00:00"/>
    <n v="1061.81"/>
    <s v="AUD"/>
    <s v="Partial"/>
    <m/>
    <s v="Net 45"/>
    <b v="1"/>
    <n v="711"/>
    <n v="666"/>
    <x v="0"/>
    <n v="1061.81"/>
    <x v="0"/>
    <n v="0"/>
    <n v="1061.81"/>
  </r>
  <r>
    <s v="AR20782"/>
    <x v="2"/>
    <x v="433"/>
    <d v="2024-09-22T00:00:00"/>
    <n v="7675.26"/>
    <s v="CAD"/>
    <s v="Received"/>
    <d v="2024-09-22T00:00:00"/>
    <s v="Net 45"/>
    <b v="0"/>
    <n v="45"/>
    <n v="0"/>
    <x v="1"/>
    <n v="0"/>
    <x v="2"/>
    <n v="7675.26"/>
    <n v="0"/>
  </r>
  <r>
    <s v="AR20783"/>
    <x v="2"/>
    <x v="287"/>
    <d v="2025-01-21T00:00:00"/>
    <n v="3464.63"/>
    <s v="AUD"/>
    <s v="Open"/>
    <m/>
    <s v="Net 45"/>
    <b v="1"/>
    <n v="417"/>
    <n v="372"/>
    <x v="0"/>
    <n v="3464.63"/>
    <x v="0"/>
    <n v="0"/>
    <n v="3464.63"/>
  </r>
  <r>
    <s v="AR20784"/>
    <x v="1"/>
    <x v="526"/>
    <d v="2024-02-15T00:00:00"/>
    <n v="3760.84"/>
    <s v="EUR"/>
    <s v="Received"/>
    <d v="2024-02-15T00:00:00"/>
    <s v="Net 45"/>
    <b v="0"/>
    <n v="45"/>
    <n v="0"/>
    <x v="1"/>
    <n v="0"/>
    <x v="2"/>
    <n v="3760.84"/>
    <n v="0"/>
  </r>
  <r>
    <s v="AR20785"/>
    <x v="4"/>
    <x v="527"/>
    <d v="2023-04-14T00:00:00"/>
    <n v="3807.09"/>
    <s v="USD"/>
    <s v="Received"/>
    <d v="2023-04-14T00:00:00"/>
    <s v="Net 45"/>
    <b v="0"/>
    <n v="45"/>
    <n v="0"/>
    <x v="1"/>
    <n v="0"/>
    <x v="2"/>
    <n v="3807.09"/>
    <n v="0"/>
  </r>
  <r>
    <s v="AR20786"/>
    <x v="1"/>
    <x v="528"/>
    <d v="2024-12-15T00:00:00"/>
    <n v="686.86"/>
    <s v="GBP"/>
    <s v="Partial"/>
    <m/>
    <s v="Net 45"/>
    <b v="1"/>
    <n v="454"/>
    <n v="409"/>
    <x v="0"/>
    <n v="686.86"/>
    <x v="0"/>
    <n v="0"/>
    <n v="686.86"/>
  </r>
  <r>
    <s v="AR20787"/>
    <x v="1"/>
    <x v="529"/>
    <d v="2025-01-18T00:00:00"/>
    <n v="6790.46"/>
    <s v="CAD"/>
    <s v="Received"/>
    <d v="2025-01-18T00:00:00"/>
    <s v="Net 45"/>
    <b v="0"/>
    <n v="45"/>
    <n v="0"/>
    <x v="1"/>
    <n v="0"/>
    <x v="2"/>
    <n v="6790.46"/>
    <n v="0"/>
  </r>
  <r>
    <s v="AR20788"/>
    <x v="2"/>
    <x v="171"/>
    <d v="2024-07-25T00:00:00"/>
    <n v="7091.17"/>
    <s v="AUD"/>
    <s v="Open"/>
    <m/>
    <s v="Net 45"/>
    <b v="1"/>
    <n v="597"/>
    <n v="552"/>
    <x v="0"/>
    <n v="7091.17"/>
    <x v="0"/>
    <n v="0"/>
    <n v="7091.17"/>
  </r>
  <r>
    <s v="AR20789"/>
    <x v="4"/>
    <x v="381"/>
    <d v="2024-06-07T00:00:00"/>
    <n v="7699.12"/>
    <s v="USD"/>
    <s v="Partial"/>
    <m/>
    <s v="Net 45"/>
    <b v="1"/>
    <n v="645"/>
    <n v="600"/>
    <x v="0"/>
    <n v="7699.12"/>
    <x v="0"/>
    <n v="0"/>
    <n v="7699.12"/>
  </r>
  <r>
    <s v="AR20790"/>
    <x v="4"/>
    <x v="530"/>
    <d v="2025-05-12T00:00:00"/>
    <n v="5087.32"/>
    <s v="GBP"/>
    <s v="Received"/>
    <d v="2025-05-12T00:00:00"/>
    <s v="Net 45"/>
    <b v="0"/>
    <n v="45"/>
    <n v="0"/>
    <x v="1"/>
    <n v="0"/>
    <x v="2"/>
    <n v="5087.32"/>
    <n v="0"/>
  </r>
  <r>
    <s v="AR20791"/>
    <x v="2"/>
    <x v="531"/>
    <d v="2023-05-09T00:00:00"/>
    <n v="2075.5"/>
    <s v="GBP"/>
    <s v="Partial"/>
    <m/>
    <s v="Net 45"/>
    <b v="1"/>
    <n v="1040"/>
    <n v="995"/>
    <x v="0"/>
    <n v="2075.5"/>
    <x v="0"/>
    <n v="0"/>
    <n v="2075.5"/>
  </r>
  <r>
    <s v="AR20792"/>
    <x v="2"/>
    <x v="115"/>
    <d v="2024-08-16T00:00:00"/>
    <n v="1547.05"/>
    <s v="CAD"/>
    <s v="Open"/>
    <m/>
    <s v="Net 45"/>
    <b v="1"/>
    <n v="575"/>
    <n v="530"/>
    <x v="0"/>
    <n v="1547.05"/>
    <x v="0"/>
    <n v="0"/>
    <n v="1547.05"/>
  </r>
  <r>
    <s v="AR20793"/>
    <x v="2"/>
    <x v="114"/>
    <d v="2025-06-04T00:00:00"/>
    <n v="200.4"/>
    <s v="EUR"/>
    <s v="Partial"/>
    <m/>
    <s v="Net 45"/>
    <b v="1"/>
    <n v="283"/>
    <n v="238"/>
    <x v="0"/>
    <n v="200.4"/>
    <x v="1"/>
    <n v="0"/>
    <n v="200.4"/>
  </r>
  <r>
    <s v="AR20794"/>
    <x v="3"/>
    <x v="532"/>
    <d v="2023-10-07T00:00:00"/>
    <n v="1095.1199999999999"/>
    <s v="USD"/>
    <s v="Partial"/>
    <m/>
    <s v="Net 45"/>
    <b v="1"/>
    <n v="889"/>
    <n v="844"/>
    <x v="0"/>
    <n v="1095.1199999999999"/>
    <x v="0"/>
    <n v="0"/>
    <n v="1095.1199999999999"/>
  </r>
  <r>
    <s v="AR20795"/>
    <x v="0"/>
    <x v="533"/>
    <d v="2023-04-01T00:00:00"/>
    <n v="674.83"/>
    <s v="AUD"/>
    <s v="Open"/>
    <m/>
    <s v="Net 45"/>
    <b v="1"/>
    <n v="1078"/>
    <n v="1033"/>
    <x v="0"/>
    <n v="674.83"/>
    <x v="0"/>
    <n v="0"/>
    <n v="674.83"/>
  </r>
  <r>
    <s v="AR20796"/>
    <x v="3"/>
    <x v="73"/>
    <d v="2024-11-29T00:00:00"/>
    <n v="631.80999999999995"/>
    <s v="CAD"/>
    <s v="Partial"/>
    <m/>
    <s v="Net 45"/>
    <b v="1"/>
    <n v="470"/>
    <n v="425"/>
    <x v="0"/>
    <n v="631.80999999999995"/>
    <x v="0"/>
    <n v="0"/>
    <n v="631.80999999999995"/>
  </r>
  <r>
    <s v="AR20797"/>
    <x v="3"/>
    <x v="380"/>
    <d v="2023-11-23T00:00:00"/>
    <n v="6298.56"/>
    <s v="GBP"/>
    <s v="Open"/>
    <m/>
    <s v="Net 45"/>
    <b v="1"/>
    <n v="842"/>
    <n v="797"/>
    <x v="0"/>
    <n v="6298.56"/>
    <x v="0"/>
    <n v="0"/>
    <n v="6298.56"/>
  </r>
  <r>
    <s v="AR20798"/>
    <x v="2"/>
    <x v="210"/>
    <d v="2024-04-09T00:00:00"/>
    <n v="340.12"/>
    <s v="CAD"/>
    <s v="Partial"/>
    <m/>
    <s v="Net 45"/>
    <b v="1"/>
    <n v="704"/>
    <n v="659"/>
    <x v="0"/>
    <n v="340.12"/>
    <x v="0"/>
    <n v="0"/>
    <n v="340.12"/>
  </r>
  <r>
    <s v="AR20799"/>
    <x v="1"/>
    <x v="534"/>
    <d v="2023-04-22T00:00:00"/>
    <n v="3782.01"/>
    <s v="GBP"/>
    <s v="Open"/>
    <m/>
    <s v="Net 45"/>
    <b v="1"/>
    <n v="1057"/>
    <n v="1012"/>
    <x v="0"/>
    <n v="3782.01"/>
    <x v="0"/>
    <n v="0"/>
    <n v="3782.01"/>
  </r>
  <r>
    <s v="AR20800"/>
    <x v="3"/>
    <x v="535"/>
    <d v="2024-02-23T00:00:00"/>
    <n v="1451.63"/>
    <s v="EUR"/>
    <s v="Received"/>
    <d v="2024-02-23T00:00:00"/>
    <s v="Net 45"/>
    <b v="0"/>
    <n v="45"/>
    <n v="0"/>
    <x v="1"/>
    <n v="0"/>
    <x v="2"/>
    <n v="1451.63"/>
    <n v="0"/>
  </r>
  <r>
    <s v="AR20801"/>
    <x v="2"/>
    <x v="536"/>
    <d v="2023-05-10T00:00:00"/>
    <n v="1981.05"/>
    <s v="CAD"/>
    <s v="Received"/>
    <d v="2023-05-10T00:00:00"/>
    <s v="Net 45"/>
    <b v="0"/>
    <n v="45"/>
    <n v="0"/>
    <x v="1"/>
    <n v="0"/>
    <x v="2"/>
    <n v="1981.05"/>
    <n v="0"/>
  </r>
  <r>
    <s v="AR20802"/>
    <x v="2"/>
    <x v="537"/>
    <d v="2023-05-20T00:00:00"/>
    <n v="2705.53"/>
    <s v="CAD"/>
    <s v="Partial"/>
    <m/>
    <s v="Net 45"/>
    <b v="1"/>
    <n v="1029"/>
    <n v="984"/>
    <x v="0"/>
    <n v="2705.53"/>
    <x v="0"/>
    <n v="0"/>
    <n v="2705.53"/>
  </r>
  <r>
    <s v="AR20803"/>
    <x v="1"/>
    <x v="268"/>
    <d v="2023-04-08T00:00:00"/>
    <n v="3205.57"/>
    <s v="USD"/>
    <s v="Received"/>
    <d v="2023-04-08T00:00:00"/>
    <s v="Net 45"/>
    <b v="0"/>
    <n v="45"/>
    <n v="0"/>
    <x v="1"/>
    <n v="0"/>
    <x v="2"/>
    <n v="3205.57"/>
    <n v="0"/>
  </r>
  <r>
    <s v="AR20804"/>
    <x v="2"/>
    <x v="44"/>
    <d v="2025-05-22T00:00:00"/>
    <n v="1545.02"/>
    <s v="USD"/>
    <s v="Partial"/>
    <m/>
    <s v="Net 45"/>
    <b v="1"/>
    <n v="296"/>
    <n v="251"/>
    <x v="0"/>
    <n v="1545.02"/>
    <x v="1"/>
    <n v="0"/>
    <n v="1545.02"/>
  </r>
  <r>
    <s v="AR20805"/>
    <x v="2"/>
    <x v="41"/>
    <d v="2023-11-27T00:00:00"/>
    <n v="2254.5500000000002"/>
    <s v="GBP"/>
    <s v="Open"/>
    <m/>
    <s v="Net 45"/>
    <b v="1"/>
    <n v="838"/>
    <n v="793"/>
    <x v="0"/>
    <n v="2254.5500000000002"/>
    <x v="0"/>
    <n v="0"/>
    <n v="2254.5500000000002"/>
  </r>
  <r>
    <s v="AR20806"/>
    <x v="0"/>
    <x v="441"/>
    <d v="2023-06-04T00:00:00"/>
    <n v="4375.79"/>
    <s v="USD"/>
    <s v="Received"/>
    <d v="2023-06-04T00:00:00"/>
    <s v="Net 45"/>
    <b v="0"/>
    <n v="45"/>
    <n v="0"/>
    <x v="1"/>
    <n v="0"/>
    <x v="2"/>
    <n v="4375.79"/>
    <n v="0"/>
  </r>
  <r>
    <s v="AR20807"/>
    <x v="2"/>
    <x v="27"/>
    <d v="2023-12-02T00:00:00"/>
    <n v="4432.12"/>
    <s v="CAD"/>
    <s v="Received"/>
    <d v="2023-12-02T00:00:00"/>
    <s v="Net 45"/>
    <b v="0"/>
    <n v="45"/>
    <n v="0"/>
    <x v="1"/>
    <n v="0"/>
    <x v="2"/>
    <n v="4432.12"/>
    <n v="0"/>
  </r>
  <r>
    <s v="AR20808"/>
    <x v="2"/>
    <x v="538"/>
    <d v="2023-09-17T00:00:00"/>
    <n v="4568.71"/>
    <s v="EUR"/>
    <s v="Partial"/>
    <m/>
    <s v="Net 45"/>
    <b v="1"/>
    <n v="909"/>
    <n v="864"/>
    <x v="0"/>
    <n v="4568.71"/>
    <x v="0"/>
    <n v="0"/>
    <n v="4568.71"/>
  </r>
  <r>
    <s v="AR20809"/>
    <x v="3"/>
    <x v="539"/>
    <d v="2024-02-07T00:00:00"/>
    <n v="1773.02"/>
    <s v="GBP"/>
    <s v="Received"/>
    <d v="2024-02-07T00:00:00"/>
    <s v="Net 45"/>
    <b v="0"/>
    <n v="45"/>
    <n v="0"/>
    <x v="1"/>
    <n v="0"/>
    <x v="2"/>
    <n v="1773.02"/>
    <n v="0"/>
  </r>
  <r>
    <s v="AR20810"/>
    <x v="3"/>
    <x v="525"/>
    <d v="2023-02-26T00:00:00"/>
    <n v="4728.13"/>
    <s v="CAD"/>
    <s v="Received"/>
    <d v="2023-02-26T00:00:00"/>
    <s v="Net 45"/>
    <b v="0"/>
    <n v="45"/>
    <n v="0"/>
    <x v="1"/>
    <n v="0"/>
    <x v="2"/>
    <n v="4728.13"/>
    <n v="0"/>
  </r>
  <r>
    <s v="AR20811"/>
    <x v="2"/>
    <x v="527"/>
    <d v="2023-04-14T00:00:00"/>
    <n v="6487.26"/>
    <s v="CAD"/>
    <s v="Open"/>
    <m/>
    <s v="Net 45"/>
    <b v="1"/>
    <n v="1065"/>
    <n v="1020"/>
    <x v="0"/>
    <n v="6487.26"/>
    <x v="0"/>
    <n v="0"/>
    <n v="6487.26"/>
  </r>
  <r>
    <s v="AR20812"/>
    <x v="1"/>
    <x v="540"/>
    <d v="2023-12-11T00:00:00"/>
    <n v="4068.12"/>
    <s v="EUR"/>
    <s v="Open"/>
    <m/>
    <s v="Net 45"/>
    <b v="1"/>
    <n v="824"/>
    <n v="779"/>
    <x v="0"/>
    <n v="4068.12"/>
    <x v="0"/>
    <n v="0"/>
    <n v="4068.12"/>
  </r>
  <r>
    <s v="AR20813"/>
    <x v="4"/>
    <x v="11"/>
    <d v="2025-01-19T00:00:00"/>
    <n v="6480.06"/>
    <s v="GBP"/>
    <s v="Partial"/>
    <m/>
    <s v="Net 45"/>
    <b v="1"/>
    <n v="419"/>
    <n v="374"/>
    <x v="0"/>
    <n v="6480.06"/>
    <x v="0"/>
    <n v="0"/>
    <n v="6480.06"/>
  </r>
  <r>
    <s v="AR20814"/>
    <x v="0"/>
    <x v="541"/>
    <d v="2024-09-27T00:00:00"/>
    <n v="3518.68"/>
    <s v="EUR"/>
    <s v="Open"/>
    <m/>
    <s v="Net 45"/>
    <b v="1"/>
    <n v="533"/>
    <n v="488"/>
    <x v="0"/>
    <n v="3518.68"/>
    <x v="0"/>
    <n v="0"/>
    <n v="3518.68"/>
  </r>
  <r>
    <s v="AR20815"/>
    <x v="0"/>
    <x v="443"/>
    <d v="2024-02-27T00:00:00"/>
    <n v="4965.96"/>
    <s v="GBP"/>
    <s v="Open"/>
    <m/>
    <s v="Net 45"/>
    <b v="1"/>
    <n v="746"/>
    <n v="701"/>
    <x v="0"/>
    <n v="4965.96"/>
    <x v="0"/>
    <n v="0"/>
    <n v="4965.96"/>
  </r>
  <r>
    <s v="AR20816"/>
    <x v="1"/>
    <x v="273"/>
    <d v="2024-02-14T00:00:00"/>
    <n v="4868.8900000000003"/>
    <s v="USD"/>
    <s v="Partial"/>
    <m/>
    <s v="Net 45"/>
    <b v="1"/>
    <n v="759"/>
    <n v="714"/>
    <x v="0"/>
    <n v="4868.8900000000003"/>
    <x v="0"/>
    <n v="0"/>
    <n v="4868.8900000000003"/>
  </r>
  <r>
    <s v="AR20817"/>
    <x v="1"/>
    <x v="340"/>
    <d v="2024-04-25T00:00:00"/>
    <n v="4916.9799999999996"/>
    <s v="USD"/>
    <s v="Received"/>
    <d v="2024-04-25T00:00:00"/>
    <s v="Net 45"/>
    <b v="0"/>
    <n v="45"/>
    <n v="0"/>
    <x v="1"/>
    <n v="0"/>
    <x v="2"/>
    <n v="4916.9799999999996"/>
    <n v="0"/>
  </r>
  <r>
    <s v="AR20818"/>
    <x v="0"/>
    <x v="542"/>
    <d v="2024-08-11T00:00:00"/>
    <n v="3806.24"/>
    <s v="GBP"/>
    <s v="Received"/>
    <d v="2024-08-11T00:00:00"/>
    <s v="Net 45"/>
    <b v="0"/>
    <n v="45"/>
    <n v="0"/>
    <x v="1"/>
    <n v="0"/>
    <x v="2"/>
    <n v="3806.24"/>
    <n v="0"/>
  </r>
  <r>
    <s v="AR20819"/>
    <x v="2"/>
    <x v="178"/>
    <d v="2025-07-21T00:00:00"/>
    <n v="5185.96"/>
    <s v="USD"/>
    <s v="Open"/>
    <m/>
    <s v="Net 45"/>
    <b v="1"/>
    <n v="236"/>
    <n v="191"/>
    <x v="0"/>
    <n v="5185.96"/>
    <x v="1"/>
    <n v="0"/>
    <n v="5185.96"/>
  </r>
  <r>
    <s v="AR20820"/>
    <x v="1"/>
    <x v="543"/>
    <d v="2024-02-25T00:00:00"/>
    <n v="4303.5600000000004"/>
    <s v="AUD"/>
    <s v="Open"/>
    <m/>
    <s v="Net 45"/>
    <b v="1"/>
    <n v="748"/>
    <n v="703"/>
    <x v="0"/>
    <n v="4303.5600000000004"/>
    <x v="0"/>
    <n v="0"/>
    <n v="4303.5600000000004"/>
  </r>
  <r>
    <s v="AR20821"/>
    <x v="0"/>
    <x v="47"/>
    <d v="2023-08-15T00:00:00"/>
    <n v="6011.5"/>
    <s v="USD"/>
    <s v="Open"/>
    <m/>
    <s v="Net 45"/>
    <b v="1"/>
    <n v="942"/>
    <n v="897"/>
    <x v="0"/>
    <n v="6011.5"/>
    <x v="0"/>
    <n v="0"/>
    <n v="6011.5"/>
  </r>
  <r>
    <s v="AR20822"/>
    <x v="3"/>
    <x v="544"/>
    <d v="2025-03-01T00:00:00"/>
    <n v="3111.71"/>
    <s v="CAD"/>
    <s v="Open"/>
    <m/>
    <s v="Net 45"/>
    <b v="1"/>
    <n v="378"/>
    <n v="333"/>
    <x v="0"/>
    <n v="3111.71"/>
    <x v="1"/>
    <n v="0"/>
    <n v="3111.71"/>
  </r>
  <r>
    <s v="AR20823"/>
    <x v="4"/>
    <x v="545"/>
    <d v="2025-01-06T00:00:00"/>
    <n v="7891.74"/>
    <s v="GBP"/>
    <s v="Partial"/>
    <m/>
    <s v="Net 45"/>
    <b v="1"/>
    <n v="432"/>
    <n v="387"/>
    <x v="0"/>
    <n v="7891.74"/>
    <x v="0"/>
    <n v="0"/>
    <n v="7891.74"/>
  </r>
  <r>
    <s v="AR20824"/>
    <x v="2"/>
    <x v="95"/>
    <d v="2024-02-08T00:00:00"/>
    <n v="4155.67"/>
    <s v="USD"/>
    <s v="Partial"/>
    <m/>
    <s v="Net 45"/>
    <b v="1"/>
    <n v="765"/>
    <n v="720"/>
    <x v="0"/>
    <n v="4155.67"/>
    <x v="0"/>
    <n v="0"/>
    <n v="4155.67"/>
  </r>
  <r>
    <s v="AR20825"/>
    <x v="3"/>
    <x v="460"/>
    <d v="2024-10-04T00:00:00"/>
    <n v="3416.11"/>
    <s v="CAD"/>
    <s v="Open"/>
    <m/>
    <s v="Net 45"/>
    <b v="1"/>
    <n v="526"/>
    <n v="481"/>
    <x v="0"/>
    <n v="3416.11"/>
    <x v="0"/>
    <n v="0"/>
    <n v="3416.11"/>
  </r>
  <r>
    <s v="AR20826"/>
    <x v="4"/>
    <x v="191"/>
    <d v="2025-06-05T00:00:00"/>
    <n v="3101.41"/>
    <s v="GBP"/>
    <s v="Open"/>
    <m/>
    <s v="Net 45"/>
    <b v="1"/>
    <n v="282"/>
    <n v="237"/>
    <x v="0"/>
    <n v="3101.41"/>
    <x v="1"/>
    <n v="0"/>
    <n v="3101.41"/>
  </r>
  <r>
    <s v="AR20827"/>
    <x v="2"/>
    <x v="546"/>
    <d v="2025-08-04T00:00:00"/>
    <n v="4340.3100000000004"/>
    <s v="USD"/>
    <s v="Partial"/>
    <m/>
    <s v="Net 45"/>
    <b v="1"/>
    <n v="222"/>
    <n v="177"/>
    <x v="0"/>
    <n v="4340.3100000000004"/>
    <x v="3"/>
    <n v="0"/>
    <n v="4340.3100000000004"/>
  </r>
  <r>
    <s v="AR20828"/>
    <x v="1"/>
    <x v="547"/>
    <d v="2024-10-30T00:00:00"/>
    <n v="3421.13"/>
    <s v="USD"/>
    <s v="Received"/>
    <d v="2024-10-30T00:00:00"/>
    <s v="Net 45"/>
    <b v="0"/>
    <n v="45"/>
    <n v="0"/>
    <x v="1"/>
    <n v="0"/>
    <x v="2"/>
    <n v="3421.13"/>
    <n v="0"/>
  </r>
  <r>
    <s v="AR20829"/>
    <x v="0"/>
    <x v="418"/>
    <d v="2025-08-12T00:00:00"/>
    <n v="6109.5"/>
    <s v="USD"/>
    <s v="Open"/>
    <m/>
    <s v="Net 45"/>
    <b v="1"/>
    <n v="214"/>
    <n v="169"/>
    <x v="0"/>
    <n v="6109.5"/>
    <x v="3"/>
    <n v="0"/>
    <n v="6109.5"/>
  </r>
  <r>
    <s v="AR20830"/>
    <x v="4"/>
    <x v="8"/>
    <d v="2025-02-19T00:00:00"/>
    <n v="5463.95"/>
    <s v="EUR"/>
    <s v="Partial"/>
    <m/>
    <s v="Net 45"/>
    <b v="1"/>
    <n v="388"/>
    <n v="343"/>
    <x v="0"/>
    <n v="5463.95"/>
    <x v="1"/>
    <n v="0"/>
    <n v="5463.95"/>
  </r>
  <r>
    <s v="AR20831"/>
    <x v="3"/>
    <x v="198"/>
    <d v="2023-10-06T00:00:00"/>
    <n v="6119.76"/>
    <s v="CAD"/>
    <s v="Received"/>
    <d v="2023-10-06T00:00:00"/>
    <s v="Net 45"/>
    <b v="0"/>
    <n v="45"/>
    <n v="0"/>
    <x v="1"/>
    <n v="0"/>
    <x v="2"/>
    <n v="6119.76"/>
    <n v="0"/>
  </r>
  <r>
    <s v="AR20832"/>
    <x v="4"/>
    <x v="301"/>
    <d v="2024-04-23T00:00:00"/>
    <n v="5529.68"/>
    <s v="EUR"/>
    <s v="Open"/>
    <m/>
    <s v="Net 45"/>
    <b v="1"/>
    <n v="690"/>
    <n v="645"/>
    <x v="0"/>
    <n v="5529.68"/>
    <x v="0"/>
    <n v="0"/>
    <n v="5529.68"/>
  </r>
  <r>
    <s v="AR20833"/>
    <x v="4"/>
    <x v="260"/>
    <d v="2025-02-03T00:00:00"/>
    <n v="5859.96"/>
    <s v="GBP"/>
    <s v="Received"/>
    <d v="2025-02-03T00:00:00"/>
    <s v="Net 45"/>
    <b v="0"/>
    <n v="45"/>
    <n v="0"/>
    <x v="1"/>
    <n v="0"/>
    <x v="2"/>
    <n v="5859.96"/>
    <n v="0"/>
  </r>
  <r>
    <s v="AR20834"/>
    <x v="0"/>
    <x v="24"/>
    <d v="2023-08-22T00:00:00"/>
    <n v="7051.74"/>
    <s v="GBP"/>
    <s v="Received"/>
    <d v="2023-08-22T00:00:00"/>
    <s v="Net 45"/>
    <b v="0"/>
    <n v="45"/>
    <n v="0"/>
    <x v="1"/>
    <n v="0"/>
    <x v="2"/>
    <n v="7051.74"/>
    <n v="0"/>
  </r>
  <r>
    <s v="AR20835"/>
    <x v="2"/>
    <x v="548"/>
    <d v="2023-02-23T00:00:00"/>
    <n v="1546.25"/>
    <s v="EUR"/>
    <s v="Open"/>
    <m/>
    <s v="Net 45"/>
    <b v="1"/>
    <n v="1115"/>
    <n v="1070"/>
    <x v="0"/>
    <n v="1546.25"/>
    <x v="0"/>
    <n v="0"/>
    <n v="1546.25"/>
  </r>
  <r>
    <s v="AR20836"/>
    <x v="3"/>
    <x v="549"/>
    <d v="2025-06-12T00:00:00"/>
    <n v="6604.35"/>
    <s v="USD"/>
    <s v="Partial"/>
    <m/>
    <s v="Net 45"/>
    <b v="1"/>
    <n v="275"/>
    <n v="230"/>
    <x v="0"/>
    <n v="6604.35"/>
    <x v="1"/>
    <n v="0"/>
    <n v="6604.35"/>
  </r>
  <r>
    <s v="AR20837"/>
    <x v="4"/>
    <x v="270"/>
    <d v="2024-03-09T00:00:00"/>
    <n v="2420.27"/>
    <s v="AUD"/>
    <s v="Partial"/>
    <m/>
    <s v="Net 45"/>
    <b v="1"/>
    <n v="735"/>
    <n v="690"/>
    <x v="0"/>
    <n v="2420.27"/>
    <x v="0"/>
    <n v="0"/>
    <n v="2420.27"/>
  </r>
  <r>
    <s v="AR20838"/>
    <x v="2"/>
    <x v="63"/>
    <d v="2024-12-08T00:00:00"/>
    <n v="4890.76"/>
    <s v="USD"/>
    <s v="Partial"/>
    <m/>
    <s v="Net 45"/>
    <b v="1"/>
    <n v="461"/>
    <n v="416"/>
    <x v="0"/>
    <n v="4890.76"/>
    <x v="0"/>
    <n v="0"/>
    <n v="4890.76"/>
  </r>
  <r>
    <s v="AR20839"/>
    <x v="0"/>
    <x v="550"/>
    <d v="2024-03-23T00:00:00"/>
    <n v="5733.98"/>
    <s v="GBP"/>
    <s v="Partial"/>
    <m/>
    <s v="Net 45"/>
    <b v="1"/>
    <n v="721"/>
    <n v="676"/>
    <x v="0"/>
    <n v="5733.98"/>
    <x v="0"/>
    <n v="0"/>
    <n v="5733.98"/>
  </r>
  <r>
    <s v="AR20840"/>
    <x v="4"/>
    <x v="551"/>
    <d v="2025-06-09T00:00:00"/>
    <n v="3537.28"/>
    <s v="USD"/>
    <s v="Received"/>
    <d v="2025-06-09T00:00:00"/>
    <s v="Net 45"/>
    <b v="0"/>
    <n v="45"/>
    <n v="0"/>
    <x v="1"/>
    <n v="0"/>
    <x v="2"/>
    <n v="3537.28"/>
    <n v="0"/>
  </r>
  <r>
    <s v="AR20841"/>
    <x v="0"/>
    <x v="552"/>
    <d v="2024-06-10T00:00:00"/>
    <n v="2302.83"/>
    <s v="EUR"/>
    <s v="Received"/>
    <d v="2024-06-10T00:00:00"/>
    <s v="Net 45"/>
    <b v="0"/>
    <n v="45"/>
    <n v="0"/>
    <x v="1"/>
    <n v="0"/>
    <x v="2"/>
    <n v="2302.83"/>
    <n v="0"/>
  </r>
  <r>
    <s v="AR20842"/>
    <x v="1"/>
    <x v="394"/>
    <d v="2025-04-13T00:00:00"/>
    <n v="6136.41"/>
    <s v="CAD"/>
    <s v="Open"/>
    <m/>
    <s v="Net 45"/>
    <b v="1"/>
    <n v="335"/>
    <n v="290"/>
    <x v="0"/>
    <n v="6136.41"/>
    <x v="1"/>
    <n v="0"/>
    <n v="6136.41"/>
  </r>
  <r>
    <s v="AR20843"/>
    <x v="1"/>
    <x v="325"/>
    <d v="2024-03-08T00:00:00"/>
    <n v="679.54"/>
    <s v="USD"/>
    <s v="Open"/>
    <m/>
    <s v="Net 45"/>
    <b v="1"/>
    <n v="736"/>
    <n v="691"/>
    <x v="0"/>
    <n v="679.54"/>
    <x v="0"/>
    <n v="0"/>
    <n v="679.54"/>
  </r>
  <r>
    <s v="AR20844"/>
    <x v="2"/>
    <x v="553"/>
    <d v="2023-03-26T00:00:00"/>
    <n v="6397.31"/>
    <s v="EUR"/>
    <s v="Partial"/>
    <m/>
    <s v="Net 45"/>
    <b v="1"/>
    <n v="1084"/>
    <n v="1039"/>
    <x v="0"/>
    <n v="6397.31"/>
    <x v="0"/>
    <n v="0"/>
    <n v="6397.31"/>
  </r>
  <r>
    <s v="AR20845"/>
    <x v="4"/>
    <x v="554"/>
    <d v="2025-06-10T00:00:00"/>
    <n v="6130.22"/>
    <s v="GBP"/>
    <s v="Received"/>
    <d v="2025-06-10T00:00:00"/>
    <s v="Net 45"/>
    <b v="0"/>
    <n v="45"/>
    <n v="0"/>
    <x v="1"/>
    <n v="0"/>
    <x v="2"/>
    <n v="6130.22"/>
    <n v="0"/>
  </r>
  <r>
    <s v="AR20846"/>
    <x v="3"/>
    <x v="555"/>
    <d v="2023-02-28T00:00:00"/>
    <n v="7832.04"/>
    <s v="AUD"/>
    <s v="Received"/>
    <d v="2023-02-28T00:00:00"/>
    <s v="Net 45"/>
    <b v="0"/>
    <n v="45"/>
    <n v="0"/>
    <x v="1"/>
    <n v="0"/>
    <x v="2"/>
    <n v="7832.04"/>
    <n v="0"/>
  </r>
  <r>
    <s v="AR20847"/>
    <x v="1"/>
    <x v="238"/>
    <d v="2024-12-07T00:00:00"/>
    <n v="4671.99"/>
    <s v="CAD"/>
    <s v="Partial"/>
    <m/>
    <s v="Net 45"/>
    <b v="1"/>
    <n v="462"/>
    <n v="417"/>
    <x v="0"/>
    <n v="4671.99"/>
    <x v="0"/>
    <n v="0"/>
    <n v="4671.99"/>
  </r>
  <r>
    <s v="AR20848"/>
    <x v="0"/>
    <x v="438"/>
    <d v="2024-02-28T00:00:00"/>
    <n v="4213.26"/>
    <s v="CAD"/>
    <s v="Partial"/>
    <m/>
    <s v="Net 45"/>
    <b v="1"/>
    <n v="745"/>
    <n v="700"/>
    <x v="0"/>
    <n v="4213.26"/>
    <x v="0"/>
    <n v="0"/>
    <n v="4213.26"/>
  </r>
  <r>
    <s v="AR20849"/>
    <x v="4"/>
    <x v="209"/>
    <d v="2023-06-15T00:00:00"/>
    <n v="7245.84"/>
    <s v="AUD"/>
    <s v="Partial"/>
    <m/>
    <s v="Net 45"/>
    <b v="1"/>
    <n v="1003"/>
    <n v="958"/>
    <x v="0"/>
    <n v="7245.84"/>
    <x v="0"/>
    <n v="0"/>
    <n v="7245.84"/>
  </r>
  <r>
    <s v="AR20850"/>
    <x v="0"/>
    <x v="556"/>
    <d v="2023-10-01T00:00:00"/>
    <n v="3490.61"/>
    <s v="EUR"/>
    <s v="Partial"/>
    <m/>
    <s v="Net 45"/>
    <b v="1"/>
    <n v="895"/>
    <n v="850"/>
    <x v="0"/>
    <n v="3490.61"/>
    <x v="0"/>
    <n v="0"/>
    <n v="3490.61"/>
  </r>
  <r>
    <s v="AR20851"/>
    <x v="2"/>
    <x v="557"/>
    <d v="2024-01-10T00:00:00"/>
    <n v="4514.91"/>
    <s v="USD"/>
    <s v="Open"/>
    <m/>
    <s v="Net 45"/>
    <b v="1"/>
    <n v="794"/>
    <n v="749"/>
    <x v="0"/>
    <n v="4514.91"/>
    <x v="0"/>
    <n v="0"/>
    <n v="4514.91"/>
  </r>
  <r>
    <s v="AR20852"/>
    <x v="2"/>
    <x v="558"/>
    <d v="2024-04-03T00:00:00"/>
    <n v="507"/>
    <s v="GBP"/>
    <s v="Received"/>
    <d v="2024-04-03T00:00:00"/>
    <s v="Net 45"/>
    <b v="0"/>
    <n v="45"/>
    <n v="0"/>
    <x v="1"/>
    <n v="0"/>
    <x v="2"/>
    <n v="507"/>
    <n v="0"/>
  </r>
  <r>
    <s v="AR20853"/>
    <x v="0"/>
    <x v="548"/>
    <d v="2023-02-23T00:00:00"/>
    <n v="860.68"/>
    <s v="CAD"/>
    <s v="Open"/>
    <m/>
    <s v="Net 45"/>
    <b v="1"/>
    <n v="1115"/>
    <n v="1070"/>
    <x v="0"/>
    <n v="860.68"/>
    <x v="0"/>
    <n v="0"/>
    <n v="860.68"/>
  </r>
  <r>
    <s v="AR20854"/>
    <x v="4"/>
    <x v="347"/>
    <d v="2025-07-01T00:00:00"/>
    <n v="3179.28"/>
    <s v="GBP"/>
    <s v="Open"/>
    <m/>
    <s v="Net 45"/>
    <b v="1"/>
    <n v="256"/>
    <n v="211"/>
    <x v="0"/>
    <n v="3179.28"/>
    <x v="1"/>
    <n v="0"/>
    <n v="3179.28"/>
  </r>
  <r>
    <s v="AR20855"/>
    <x v="2"/>
    <x v="113"/>
    <d v="2023-10-30T00:00:00"/>
    <n v="3603.83"/>
    <s v="CAD"/>
    <s v="Received"/>
    <d v="2023-10-30T00:00:00"/>
    <s v="Net 45"/>
    <b v="0"/>
    <n v="45"/>
    <n v="0"/>
    <x v="1"/>
    <n v="0"/>
    <x v="2"/>
    <n v="3603.83"/>
    <n v="0"/>
  </r>
  <r>
    <s v="AR20856"/>
    <x v="3"/>
    <x v="252"/>
    <d v="2024-01-12T00:00:00"/>
    <n v="267.24"/>
    <s v="AUD"/>
    <s v="Open"/>
    <m/>
    <s v="Net 45"/>
    <b v="1"/>
    <n v="792"/>
    <n v="747"/>
    <x v="0"/>
    <n v="267.24"/>
    <x v="0"/>
    <n v="0"/>
    <n v="267.24"/>
  </r>
  <r>
    <s v="AR20857"/>
    <x v="2"/>
    <x v="559"/>
    <d v="2025-07-12T00:00:00"/>
    <n v="6493.35"/>
    <s v="AUD"/>
    <s v="Received"/>
    <d v="2025-07-12T00:00:00"/>
    <s v="Net 45"/>
    <b v="0"/>
    <n v="45"/>
    <n v="0"/>
    <x v="1"/>
    <n v="0"/>
    <x v="2"/>
    <n v="6493.35"/>
    <n v="0"/>
  </r>
  <r>
    <s v="AR20858"/>
    <x v="4"/>
    <x v="431"/>
    <d v="2023-10-14T00:00:00"/>
    <n v="5155.55"/>
    <s v="CAD"/>
    <s v="Partial"/>
    <m/>
    <s v="Net 45"/>
    <b v="1"/>
    <n v="882"/>
    <n v="837"/>
    <x v="0"/>
    <n v="5155.55"/>
    <x v="0"/>
    <n v="0"/>
    <n v="5155.55"/>
  </r>
  <r>
    <s v="AR20859"/>
    <x v="2"/>
    <x v="560"/>
    <d v="2024-12-29T00:00:00"/>
    <n v="5605.91"/>
    <s v="USD"/>
    <s v="Partial"/>
    <m/>
    <s v="Net 45"/>
    <b v="1"/>
    <n v="440"/>
    <n v="395"/>
    <x v="0"/>
    <n v="5605.91"/>
    <x v="0"/>
    <n v="0"/>
    <n v="5605.91"/>
  </r>
  <r>
    <s v="AR20860"/>
    <x v="0"/>
    <x v="148"/>
    <d v="2025-03-23T00:00:00"/>
    <n v="6041.09"/>
    <s v="EUR"/>
    <s v="Partial"/>
    <m/>
    <s v="Net 45"/>
    <b v="1"/>
    <n v="356"/>
    <n v="311"/>
    <x v="0"/>
    <n v="6041.09"/>
    <x v="1"/>
    <n v="0"/>
    <n v="6041.09"/>
  </r>
  <r>
    <s v="AR20861"/>
    <x v="2"/>
    <x v="561"/>
    <d v="2023-03-12T00:00:00"/>
    <n v="4640.58"/>
    <s v="GBP"/>
    <s v="Open"/>
    <m/>
    <s v="Net 45"/>
    <b v="1"/>
    <n v="1098"/>
    <n v="1053"/>
    <x v="0"/>
    <n v="4640.58"/>
    <x v="0"/>
    <n v="0"/>
    <n v="4640.58"/>
  </r>
  <r>
    <s v="AR20862"/>
    <x v="4"/>
    <x v="533"/>
    <d v="2023-04-01T00:00:00"/>
    <n v="733.3"/>
    <s v="GBP"/>
    <s v="Partial"/>
    <m/>
    <s v="Net 45"/>
    <b v="1"/>
    <n v="1078"/>
    <n v="1033"/>
    <x v="0"/>
    <n v="733.3"/>
    <x v="0"/>
    <n v="0"/>
    <n v="733.3"/>
  </r>
  <r>
    <s v="AR20863"/>
    <x v="4"/>
    <x v="346"/>
    <d v="2023-07-11T00:00:00"/>
    <n v="5029.3999999999996"/>
    <s v="AUD"/>
    <s v="Received"/>
    <d v="2023-07-11T00:00:00"/>
    <s v="Net 45"/>
    <b v="0"/>
    <n v="45"/>
    <n v="0"/>
    <x v="1"/>
    <n v="0"/>
    <x v="2"/>
    <n v="5029.3999999999996"/>
    <n v="0"/>
  </r>
  <r>
    <s v="AR20864"/>
    <x v="1"/>
    <x v="180"/>
    <d v="2023-02-22T00:00:00"/>
    <n v="5824.57"/>
    <s v="USD"/>
    <s v="Received"/>
    <d v="2023-02-22T00:00:00"/>
    <s v="Net 45"/>
    <b v="0"/>
    <n v="45"/>
    <n v="0"/>
    <x v="1"/>
    <n v="0"/>
    <x v="2"/>
    <n v="5824.57"/>
    <n v="0"/>
  </r>
  <r>
    <s v="AR20865"/>
    <x v="2"/>
    <x v="316"/>
    <d v="2023-08-31T00:00:00"/>
    <n v="3219.89"/>
    <s v="EUR"/>
    <s v="Open"/>
    <m/>
    <s v="Net 45"/>
    <b v="1"/>
    <n v="926"/>
    <n v="881"/>
    <x v="0"/>
    <n v="3219.89"/>
    <x v="0"/>
    <n v="0"/>
    <n v="3219.89"/>
  </r>
  <r>
    <s v="AR20866"/>
    <x v="4"/>
    <x v="562"/>
    <d v="2024-10-14T00:00:00"/>
    <n v="2856.82"/>
    <s v="USD"/>
    <s v="Open"/>
    <m/>
    <s v="Net 45"/>
    <b v="1"/>
    <n v="516"/>
    <n v="471"/>
    <x v="0"/>
    <n v="2856.82"/>
    <x v="0"/>
    <n v="0"/>
    <n v="2856.82"/>
  </r>
  <r>
    <s v="AR20867"/>
    <x v="1"/>
    <x v="385"/>
    <d v="2024-11-13T00:00:00"/>
    <n v="4095.19"/>
    <s v="AUD"/>
    <s v="Partial"/>
    <m/>
    <s v="Net 45"/>
    <b v="1"/>
    <n v="486"/>
    <n v="441"/>
    <x v="0"/>
    <n v="4095.19"/>
    <x v="0"/>
    <n v="0"/>
    <n v="4095.19"/>
  </r>
  <r>
    <s v="AR20868"/>
    <x v="4"/>
    <x v="336"/>
    <d v="2023-12-09T00:00:00"/>
    <n v="7507.98"/>
    <s v="GBP"/>
    <s v="Open"/>
    <m/>
    <s v="Net 45"/>
    <b v="1"/>
    <n v="826"/>
    <n v="781"/>
    <x v="0"/>
    <n v="7507.98"/>
    <x v="0"/>
    <n v="0"/>
    <n v="7507.98"/>
  </r>
  <r>
    <s v="AR20869"/>
    <x v="3"/>
    <x v="563"/>
    <d v="2025-04-04T00:00:00"/>
    <n v="2271.23"/>
    <s v="CAD"/>
    <s v="Open"/>
    <m/>
    <s v="Net 45"/>
    <b v="1"/>
    <n v="344"/>
    <n v="299"/>
    <x v="0"/>
    <n v="2271.23"/>
    <x v="1"/>
    <n v="0"/>
    <n v="2271.23"/>
  </r>
  <r>
    <s v="AR20870"/>
    <x v="3"/>
    <x v="564"/>
    <d v="2023-07-15T00:00:00"/>
    <n v="4290.32"/>
    <s v="AUD"/>
    <s v="Partial"/>
    <m/>
    <s v="Net 45"/>
    <b v="1"/>
    <n v="973"/>
    <n v="928"/>
    <x v="0"/>
    <n v="4290.32"/>
    <x v="0"/>
    <n v="0"/>
    <n v="4290.32"/>
  </r>
  <r>
    <s v="AR20871"/>
    <x v="3"/>
    <x v="284"/>
    <d v="2023-10-12T00:00:00"/>
    <n v="3562.01"/>
    <s v="GBP"/>
    <s v="Open"/>
    <m/>
    <s v="Net 45"/>
    <b v="1"/>
    <n v="884"/>
    <n v="839"/>
    <x v="0"/>
    <n v="3562.01"/>
    <x v="0"/>
    <n v="0"/>
    <n v="3562.01"/>
  </r>
  <r>
    <s v="AR20872"/>
    <x v="2"/>
    <x v="209"/>
    <d v="2023-06-15T00:00:00"/>
    <n v="2117.4699999999998"/>
    <s v="USD"/>
    <s v="Open"/>
    <m/>
    <s v="Net 45"/>
    <b v="1"/>
    <n v="1003"/>
    <n v="958"/>
    <x v="0"/>
    <n v="2117.4699999999998"/>
    <x v="0"/>
    <n v="0"/>
    <n v="2117.4699999999998"/>
  </r>
  <r>
    <s v="AR20873"/>
    <x v="1"/>
    <x v="234"/>
    <d v="2024-01-19T00:00:00"/>
    <n v="2865.09"/>
    <s v="GBP"/>
    <s v="Received"/>
    <d v="2024-01-19T00:00:00"/>
    <s v="Net 45"/>
    <b v="0"/>
    <n v="45"/>
    <n v="0"/>
    <x v="1"/>
    <n v="0"/>
    <x v="2"/>
    <n v="2865.09"/>
    <n v="0"/>
  </r>
  <r>
    <s v="AR20874"/>
    <x v="0"/>
    <x v="529"/>
    <d v="2025-01-18T00:00:00"/>
    <n v="3933.4"/>
    <s v="CAD"/>
    <s v="Partial"/>
    <m/>
    <s v="Net 45"/>
    <b v="1"/>
    <n v="420"/>
    <n v="375"/>
    <x v="0"/>
    <n v="3933.4"/>
    <x v="0"/>
    <n v="0"/>
    <n v="3933.4"/>
  </r>
  <r>
    <s v="AR20875"/>
    <x v="1"/>
    <x v="565"/>
    <d v="2023-12-01T00:00:00"/>
    <n v="300.14"/>
    <s v="USD"/>
    <s v="Received"/>
    <d v="2023-12-01T00:00:00"/>
    <s v="Net 45"/>
    <b v="0"/>
    <n v="45"/>
    <n v="0"/>
    <x v="1"/>
    <n v="0"/>
    <x v="2"/>
    <n v="300.14"/>
    <n v="0"/>
  </r>
  <r>
    <s v="AR20876"/>
    <x v="1"/>
    <x v="33"/>
    <d v="2024-01-07T00:00:00"/>
    <n v="3365.08"/>
    <s v="USD"/>
    <s v="Open"/>
    <m/>
    <s v="Net 45"/>
    <b v="1"/>
    <n v="797"/>
    <n v="752"/>
    <x v="0"/>
    <n v="3365.08"/>
    <x v="0"/>
    <n v="0"/>
    <n v="3365.08"/>
  </r>
  <r>
    <s v="AR20877"/>
    <x v="4"/>
    <x v="566"/>
    <d v="2024-10-17T00:00:00"/>
    <n v="7336.13"/>
    <s v="GBP"/>
    <s v="Open"/>
    <m/>
    <s v="Net 45"/>
    <b v="1"/>
    <n v="513"/>
    <n v="468"/>
    <x v="0"/>
    <n v="7336.13"/>
    <x v="0"/>
    <n v="0"/>
    <n v="7336.13"/>
  </r>
  <r>
    <s v="AR20878"/>
    <x v="1"/>
    <x v="567"/>
    <d v="2023-05-07T00:00:00"/>
    <n v="5117.88"/>
    <s v="CAD"/>
    <s v="Open"/>
    <m/>
    <s v="Net 45"/>
    <b v="1"/>
    <n v="1042"/>
    <n v="997"/>
    <x v="0"/>
    <n v="5117.88"/>
    <x v="0"/>
    <n v="0"/>
    <n v="5117.88"/>
  </r>
  <r>
    <s v="AR20879"/>
    <x v="3"/>
    <x v="463"/>
    <d v="2023-03-17T00:00:00"/>
    <n v="6307.06"/>
    <s v="CAD"/>
    <s v="Partial"/>
    <m/>
    <s v="Net 45"/>
    <b v="1"/>
    <n v="1093"/>
    <n v="1048"/>
    <x v="0"/>
    <n v="6307.06"/>
    <x v="0"/>
    <n v="0"/>
    <n v="6307.06"/>
  </r>
  <r>
    <s v="AR20880"/>
    <x v="1"/>
    <x v="205"/>
    <d v="2024-02-17T00:00:00"/>
    <n v="7493.25"/>
    <s v="USD"/>
    <s v="Open"/>
    <m/>
    <s v="Net 45"/>
    <b v="1"/>
    <n v="756"/>
    <n v="711"/>
    <x v="0"/>
    <n v="7493.25"/>
    <x v="0"/>
    <n v="0"/>
    <n v="7493.25"/>
  </r>
  <r>
    <s v="AR20881"/>
    <x v="3"/>
    <x v="262"/>
    <d v="2025-07-20T00:00:00"/>
    <n v="1666.55"/>
    <s v="GBP"/>
    <s v="Open"/>
    <m/>
    <s v="Net 45"/>
    <b v="1"/>
    <n v="237"/>
    <n v="192"/>
    <x v="0"/>
    <n v="1666.55"/>
    <x v="1"/>
    <n v="0"/>
    <n v="1666.55"/>
  </r>
  <r>
    <s v="AR20882"/>
    <x v="0"/>
    <x v="568"/>
    <d v="2023-12-21T00:00:00"/>
    <n v="7344.16"/>
    <s v="CAD"/>
    <s v="Received"/>
    <d v="2023-12-21T00:00:00"/>
    <s v="Net 45"/>
    <b v="0"/>
    <n v="45"/>
    <n v="0"/>
    <x v="1"/>
    <n v="0"/>
    <x v="2"/>
    <n v="7344.16"/>
    <n v="0"/>
  </r>
  <r>
    <s v="AR20883"/>
    <x v="0"/>
    <x v="166"/>
    <d v="2025-03-12T00:00:00"/>
    <n v="231.22"/>
    <s v="EUR"/>
    <s v="Received"/>
    <d v="2025-03-12T00:00:00"/>
    <s v="Net 45"/>
    <b v="0"/>
    <n v="45"/>
    <n v="0"/>
    <x v="1"/>
    <n v="0"/>
    <x v="2"/>
    <n v="231.22"/>
    <n v="0"/>
  </r>
  <r>
    <s v="AR20884"/>
    <x v="4"/>
    <x v="321"/>
    <d v="2024-05-26T00:00:00"/>
    <n v="7661.86"/>
    <s v="USD"/>
    <s v="Partial"/>
    <m/>
    <s v="Net 45"/>
    <b v="1"/>
    <n v="657"/>
    <n v="612"/>
    <x v="0"/>
    <n v="7661.86"/>
    <x v="0"/>
    <n v="0"/>
    <n v="7661.86"/>
  </r>
  <r>
    <s v="AR20885"/>
    <x v="3"/>
    <x v="569"/>
    <d v="2024-01-15T00:00:00"/>
    <n v="6954.59"/>
    <s v="EUR"/>
    <s v="Received"/>
    <d v="2024-01-15T00:00:00"/>
    <s v="Net 45"/>
    <b v="0"/>
    <n v="45"/>
    <n v="0"/>
    <x v="1"/>
    <n v="0"/>
    <x v="2"/>
    <n v="6954.59"/>
    <n v="0"/>
  </r>
  <r>
    <s v="AR20886"/>
    <x v="1"/>
    <x v="90"/>
    <d v="2025-05-09T00:00:00"/>
    <n v="381.98"/>
    <s v="EUR"/>
    <s v="Received"/>
    <d v="2025-05-09T00:00:00"/>
    <s v="Net 45"/>
    <b v="0"/>
    <n v="45"/>
    <n v="0"/>
    <x v="1"/>
    <n v="0"/>
    <x v="2"/>
    <n v="381.98"/>
    <n v="0"/>
  </r>
  <r>
    <s v="AR20887"/>
    <x v="3"/>
    <x v="570"/>
    <d v="2023-04-17T00:00:00"/>
    <n v="7168.62"/>
    <s v="USD"/>
    <s v="Open"/>
    <m/>
    <s v="Net 45"/>
    <b v="1"/>
    <n v="1062"/>
    <n v="1017"/>
    <x v="0"/>
    <n v="7168.62"/>
    <x v="0"/>
    <n v="0"/>
    <n v="7168.62"/>
  </r>
  <r>
    <s v="AR20888"/>
    <x v="2"/>
    <x v="563"/>
    <d v="2025-04-04T00:00:00"/>
    <n v="1538.18"/>
    <s v="GBP"/>
    <s v="Received"/>
    <d v="2025-04-04T00:00:00"/>
    <s v="Net 45"/>
    <b v="0"/>
    <n v="45"/>
    <n v="0"/>
    <x v="1"/>
    <n v="0"/>
    <x v="2"/>
    <n v="1538.18"/>
    <n v="0"/>
  </r>
  <r>
    <s v="AR20889"/>
    <x v="1"/>
    <x v="491"/>
    <d v="2024-03-12T00:00:00"/>
    <n v="4387.1099999999997"/>
    <s v="GBP"/>
    <s v="Partial"/>
    <m/>
    <s v="Net 45"/>
    <b v="1"/>
    <n v="732"/>
    <n v="687"/>
    <x v="0"/>
    <n v="4387.1099999999997"/>
    <x v="0"/>
    <n v="0"/>
    <n v="4387.1099999999997"/>
  </r>
  <r>
    <s v="AR20890"/>
    <x v="2"/>
    <x v="527"/>
    <d v="2023-04-14T00:00:00"/>
    <n v="5828.29"/>
    <s v="EUR"/>
    <s v="Open"/>
    <m/>
    <s v="Net 45"/>
    <b v="1"/>
    <n v="1065"/>
    <n v="1020"/>
    <x v="0"/>
    <n v="5828.29"/>
    <x v="0"/>
    <n v="0"/>
    <n v="5828.29"/>
  </r>
  <r>
    <s v="AR20891"/>
    <x v="0"/>
    <x v="396"/>
    <d v="2023-07-05T00:00:00"/>
    <n v="5386.99"/>
    <s v="CAD"/>
    <s v="Received"/>
    <d v="2023-07-05T00:00:00"/>
    <s v="Net 45"/>
    <b v="0"/>
    <n v="45"/>
    <n v="0"/>
    <x v="1"/>
    <n v="0"/>
    <x v="2"/>
    <n v="5386.99"/>
    <n v="0"/>
  </r>
  <r>
    <s v="AR20892"/>
    <x v="2"/>
    <x v="373"/>
    <d v="2023-07-02T00:00:00"/>
    <n v="1980.71"/>
    <s v="AUD"/>
    <s v="Open"/>
    <m/>
    <s v="Net 45"/>
    <b v="1"/>
    <n v="986"/>
    <n v="941"/>
    <x v="0"/>
    <n v="1980.71"/>
    <x v="0"/>
    <n v="0"/>
    <n v="1980.71"/>
  </r>
  <r>
    <s v="AR20893"/>
    <x v="2"/>
    <x v="482"/>
    <d v="2025-07-03T00:00:00"/>
    <n v="4129.08"/>
    <s v="EUR"/>
    <s v="Partial"/>
    <m/>
    <s v="Net 45"/>
    <b v="1"/>
    <n v="254"/>
    <n v="209"/>
    <x v="0"/>
    <n v="4129.08"/>
    <x v="1"/>
    <n v="0"/>
    <n v="4129.08"/>
  </r>
  <r>
    <s v="AR20894"/>
    <x v="0"/>
    <x v="204"/>
    <d v="2023-11-30T00:00:00"/>
    <n v="6161.04"/>
    <s v="EUR"/>
    <s v="Received"/>
    <d v="2023-11-30T00:00:00"/>
    <s v="Net 45"/>
    <b v="0"/>
    <n v="45"/>
    <n v="0"/>
    <x v="1"/>
    <n v="0"/>
    <x v="2"/>
    <n v="6161.04"/>
    <n v="0"/>
  </r>
  <r>
    <s v="AR20895"/>
    <x v="1"/>
    <x v="571"/>
    <d v="2025-03-08T00:00:00"/>
    <n v="2056.42"/>
    <s v="AUD"/>
    <s v="Open"/>
    <m/>
    <s v="Net 45"/>
    <b v="1"/>
    <n v="371"/>
    <n v="326"/>
    <x v="0"/>
    <n v="2056.42"/>
    <x v="1"/>
    <n v="0"/>
    <n v="2056.42"/>
  </r>
  <r>
    <s v="AR20896"/>
    <x v="2"/>
    <x v="420"/>
    <d v="2024-04-11T00:00:00"/>
    <n v="1203.3"/>
    <s v="USD"/>
    <s v="Received"/>
    <d v="2024-04-11T00:00:00"/>
    <s v="Net 45"/>
    <b v="0"/>
    <n v="45"/>
    <n v="0"/>
    <x v="1"/>
    <n v="0"/>
    <x v="2"/>
    <n v="1203.3"/>
    <n v="0"/>
  </r>
  <r>
    <s v="AR20897"/>
    <x v="4"/>
    <x v="52"/>
    <d v="2023-07-08T00:00:00"/>
    <n v="3143.41"/>
    <s v="USD"/>
    <s v="Received"/>
    <d v="2023-07-08T00:00:00"/>
    <s v="Net 45"/>
    <b v="0"/>
    <n v="45"/>
    <n v="0"/>
    <x v="1"/>
    <n v="0"/>
    <x v="2"/>
    <n v="3143.41"/>
    <n v="0"/>
  </r>
  <r>
    <s v="AR20898"/>
    <x v="3"/>
    <x v="307"/>
    <d v="2025-01-31T00:00:00"/>
    <n v="3136.3"/>
    <s v="GBP"/>
    <s v="Partial"/>
    <m/>
    <s v="Net 45"/>
    <b v="1"/>
    <n v="407"/>
    <n v="362"/>
    <x v="0"/>
    <n v="3136.3"/>
    <x v="1"/>
    <n v="0"/>
    <n v="3136.3"/>
  </r>
  <r>
    <s v="AR20899"/>
    <x v="1"/>
    <x v="60"/>
    <d v="2025-02-26T00:00:00"/>
    <n v="2993.93"/>
    <s v="EUR"/>
    <s v="Received"/>
    <d v="2025-02-26T00:00:00"/>
    <s v="Net 45"/>
    <b v="0"/>
    <n v="45"/>
    <n v="0"/>
    <x v="1"/>
    <n v="0"/>
    <x v="2"/>
    <n v="2993.9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BC3272-0F7E-4269-9776-6BCB7ED8A4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F7" firstHeaderRow="1" firstDataRow="1" firstDataCol="1"/>
  <pivotFields count="20">
    <pivotField showAll="0"/>
    <pivotField showAll="0"/>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numFmtId="2" showAll="0"/>
    <pivotField axis="axisRow" dataField="1" showAll="0">
      <items count="3">
        <item x="1"/>
        <item x="0"/>
        <item t="default"/>
      </items>
    </pivotField>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3">
    <i>
      <x/>
    </i>
    <i>
      <x v="1"/>
    </i>
    <i t="grand">
      <x/>
    </i>
  </rowItems>
  <colItems count="1">
    <i/>
  </colItems>
  <dataFields count="1">
    <dataField name="Count of Overdue Flag" fld="12"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2F430C-C233-4B57-BFF8-71F49C5A20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5:F26" firstHeaderRow="1" firstDataRow="1" firstDataCol="1" rowPageCount="1" colPageCount="1"/>
  <pivotFields count="20">
    <pivotField showAll="0"/>
    <pivotField showAll="0"/>
    <pivotField axis="axisRow" numFmtId="14" showAll="0" measureFilter="1">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numFmtId="2" showAll="0"/>
    <pivotField axis="axisPage" showAll="0">
      <items count="3">
        <item x="1"/>
        <item x="0"/>
        <item t="default"/>
      </items>
    </pivotField>
    <pivotField dataField="1" showAll="0"/>
    <pivotField showAll="0"/>
    <pivotField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11">
    <i>
      <x v="70"/>
    </i>
    <i>
      <x v="112"/>
    </i>
    <i>
      <x v="179"/>
    </i>
    <i>
      <x v="236"/>
    </i>
    <i>
      <x v="271"/>
    </i>
    <i>
      <x v="293"/>
    </i>
    <i>
      <x v="311"/>
    </i>
    <i>
      <x v="326"/>
    </i>
    <i>
      <x v="429"/>
    </i>
    <i>
      <x v="555"/>
    </i>
    <i t="grand">
      <x/>
    </i>
  </rowItems>
  <colItems count="1">
    <i/>
  </colItems>
  <pageFields count="1">
    <pageField fld="12" item="1" hier="-1"/>
  </pageFields>
  <dataFields count="1">
    <dataField name="Sum of Outstanding Amount"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07C98-0C26-467E-B9E0-77C1D15D8B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1" firstHeaderRow="1" firstDataRow="1" firstDataCol="1"/>
  <pivotFields count="20">
    <pivotField showAll="0"/>
    <pivotField showAll="0"/>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numFmtId="2" showAll="0"/>
    <pivotField showAll="0"/>
    <pivotField dataField="1"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5">
    <i>
      <x v="3"/>
    </i>
    <i>
      <x/>
    </i>
    <i>
      <x v="2"/>
    </i>
    <i>
      <x v="1"/>
    </i>
    <i t="grand">
      <x/>
    </i>
  </rowItems>
  <colItems count="1">
    <i/>
  </colItems>
  <dataFields count="1">
    <dataField name="Sum of Outstanding Amount" fld="13"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0"/>
          </reference>
        </references>
      </pivotArea>
    </chartFormat>
    <chartFormat chart="4" format="10">
      <pivotArea type="data" outline="0" fieldPosition="0">
        <references count="2">
          <reference field="4294967294" count="1" selected="0">
            <x v="0"/>
          </reference>
          <reference field="14" count="1" selected="0">
            <x v="2"/>
          </reference>
        </references>
      </pivotArea>
    </chartFormat>
    <chartFormat chart="4" format="1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586AF-7C54-4AF2-B702-0CD9BFD71B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0">
    <pivotField showAll="0"/>
    <pivotField showAll="0"/>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numFmtId="2" showAll="0"/>
    <pivotField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utstanding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9B7427-C3A1-427A-9546-4DD2A535107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8" firstHeaderRow="0" firstDataRow="1" firstDataCol="1"/>
  <pivotFields count="20">
    <pivotField showAll="0"/>
    <pivotField axis="axisRow" showAll="0">
      <items count="6">
        <item x="2"/>
        <item x="4"/>
        <item x="3"/>
        <item x="0"/>
        <item x="1"/>
        <item t="default"/>
      </items>
    </pivotField>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dataField="1" showAll="0"/>
    <pivotField showAll="0"/>
    <pivotField showAll="0"/>
    <pivotField showAll="0"/>
    <pivotField showAll="0"/>
    <pivotField showAll="0"/>
    <pivotField numFmtId="2" showAll="0"/>
    <pivotField numFmtId="2" showAll="0"/>
    <pivotField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2"/>
  </colFields>
  <colItems count="2">
    <i>
      <x/>
    </i>
    <i i="1">
      <x v="1"/>
    </i>
  </colItems>
  <dataFields count="2">
    <dataField name="Sum of Amount" fld="4" baseField="0" baseItem="0"/>
    <dataField name="Sum of Outstanding 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89A90D-71DA-4167-B2B8-22156CD2AE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16" firstHeaderRow="1" firstDataRow="1" firstDataCol="1" rowPageCount="1" colPageCount="1"/>
  <pivotFields count="20">
    <pivotField showAll="0"/>
    <pivotField showAll="0"/>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numFmtId="2" showAll="0"/>
    <pivotField axis="axisPage" multipleItemSelectionAllowed="1" showAll="0">
      <items count="3">
        <item h="1" x="1"/>
        <item x="0"/>
        <item t="default"/>
      </items>
    </pivotField>
    <pivotField dataField="1" showAll="0"/>
    <pivotField showAll="0"/>
    <pivotField showAll="0"/>
    <pivotField numFmtId="2"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3">
    <i>
      <x/>
    </i>
    <i>
      <x v="1"/>
    </i>
    <i>
      <x v="2"/>
    </i>
    <i>
      <x v="3"/>
    </i>
    <i>
      <x v="4"/>
    </i>
    <i>
      <x v="5"/>
    </i>
    <i>
      <x v="6"/>
    </i>
    <i>
      <x v="7"/>
    </i>
    <i>
      <x v="8"/>
    </i>
    <i>
      <x v="9"/>
    </i>
    <i>
      <x v="10"/>
    </i>
    <i>
      <x v="11"/>
    </i>
    <i t="grand">
      <x/>
    </i>
  </rowItems>
  <colItems count="1">
    <i/>
  </colItems>
  <pageFields count="1">
    <pageField fld="12" hier="-1"/>
  </pageFields>
  <dataFields count="1">
    <dataField name="Sum of Outstanding Amount" fld="13"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E4C9A8-F8F9-4145-8FD3-C69D4AC04F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20">
    <pivotField showAll="0"/>
    <pivotField showAll="0"/>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verdue Amount" fld="1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A69F4F-5F65-4554-B3F2-879B7B0F86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20">
    <pivotField showAll="0"/>
    <pivotField showAll="0"/>
    <pivotField numFmtId="14" showAll="0">
      <items count="573">
        <item x="179"/>
        <item x="156"/>
        <item x="462"/>
        <item x="354"/>
        <item x="180"/>
        <item x="548"/>
        <item x="345"/>
        <item x="525"/>
        <item x="555"/>
        <item x="130"/>
        <item x="303"/>
        <item x="485"/>
        <item x="240"/>
        <item x="181"/>
        <item x="100"/>
        <item x="561"/>
        <item x="387"/>
        <item x="370"/>
        <item x="70"/>
        <item x="463"/>
        <item x="367"/>
        <item x="169"/>
        <item x="372"/>
        <item x="467"/>
        <item x="227"/>
        <item x="553"/>
        <item x="428"/>
        <item x="533"/>
        <item x="257"/>
        <item x="294"/>
        <item x="176"/>
        <item x="120"/>
        <item x="265"/>
        <item x="268"/>
        <item x="413"/>
        <item x="199"/>
        <item x="192"/>
        <item x="527"/>
        <item x="25"/>
        <item x="570"/>
        <item x="409"/>
        <item x="534"/>
        <item x="410"/>
        <item x="123"/>
        <item x="503"/>
        <item x="358"/>
        <item x="26"/>
        <item x="50"/>
        <item x="567"/>
        <item x="451"/>
        <item x="531"/>
        <item x="536"/>
        <item x="190"/>
        <item x="202"/>
        <item x="509"/>
        <item x="96"/>
        <item x="75"/>
        <item x="151"/>
        <item x="341"/>
        <item x="537"/>
        <item x="474"/>
        <item x="371"/>
        <item x="379"/>
        <item x="152"/>
        <item x="441"/>
        <item x="186"/>
        <item x="318"/>
        <item x="320"/>
        <item x="233"/>
        <item x="14"/>
        <item x="209"/>
        <item x="146"/>
        <item x="276"/>
        <item x="3"/>
        <item x="309"/>
        <item x="317"/>
        <item x="447"/>
        <item x="266"/>
        <item x="87"/>
        <item x="365"/>
        <item x="373"/>
        <item x="470"/>
        <item x="396"/>
        <item x="172"/>
        <item x="421"/>
        <item x="52"/>
        <item x="221"/>
        <item x="346"/>
        <item x="145"/>
        <item x="5"/>
        <item x="483"/>
        <item x="564"/>
        <item x="57"/>
        <item x="499"/>
        <item x="477"/>
        <item x="167"/>
        <item x="207"/>
        <item x="512"/>
        <item x="280"/>
        <item x="28"/>
        <item x="112"/>
        <item x="142"/>
        <item x="119"/>
        <item x="236"/>
        <item x="295"/>
        <item x="159"/>
        <item x="129"/>
        <item x="436"/>
        <item x="369"/>
        <item x="400"/>
        <item x="59"/>
        <item x="76"/>
        <item x="47"/>
        <item x="43"/>
        <item x="40"/>
        <item x="332"/>
        <item x="478"/>
        <item x="107"/>
        <item x="416"/>
        <item x="24"/>
        <item x="185"/>
        <item x="439"/>
        <item x="22"/>
        <item x="163"/>
        <item x="55"/>
        <item x="316"/>
        <item x="182"/>
        <item x="383"/>
        <item x="473"/>
        <item x="81"/>
        <item x="308"/>
        <item x="122"/>
        <item x="506"/>
        <item x="465"/>
        <item x="538"/>
        <item x="83"/>
        <item x="39"/>
        <item x="408"/>
        <item x="493"/>
        <item x="315"/>
        <item x="138"/>
        <item x="350"/>
        <item x="64"/>
        <item x="556"/>
        <item x="0"/>
        <item x="198"/>
        <item x="532"/>
        <item x="291"/>
        <item x="10"/>
        <item x="284"/>
        <item x="431"/>
        <item x="168"/>
        <item x="188"/>
        <item x="23"/>
        <item x="384"/>
        <item x="58"/>
        <item x="342"/>
        <item x="195"/>
        <item x="155"/>
        <item x="508"/>
        <item x="226"/>
        <item x="398"/>
        <item x="113"/>
        <item x="133"/>
        <item x="412"/>
        <item x="98"/>
        <item x="282"/>
        <item x="71"/>
        <item x="127"/>
        <item x="285"/>
        <item x="194"/>
        <item x="126"/>
        <item x="353"/>
        <item x="67"/>
        <item x="395"/>
        <item x="296"/>
        <item x="380"/>
        <item x="297"/>
        <item x="160"/>
        <item x="41"/>
        <item x="204"/>
        <item x="565"/>
        <item x="27"/>
        <item x="62"/>
        <item x="402"/>
        <item x="6"/>
        <item x="277"/>
        <item x="283"/>
        <item x="336"/>
        <item x="540"/>
        <item x="42"/>
        <item x="125"/>
        <item x="38"/>
        <item x="35"/>
        <item x="267"/>
        <item x="7"/>
        <item x="335"/>
        <item x="177"/>
        <item x="568"/>
        <item x="164"/>
        <item x="449"/>
        <item x="124"/>
        <item x="101"/>
        <item x="187"/>
        <item x="468"/>
        <item x="515"/>
        <item x="218"/>
        <item x="33"/>
        <item x="344"/>
        <item x="557"/>
        <item x="252"/>
        <item x="569"/>
        <item x="304"/>
        <item x="110"/>
        <item x="234"/>
        <item x="256"/>
        <item x="281"/>
        <item x="490"/>
        <item x="149"/>
        <item x="9"/>
        <item x="94"/>
        <item x="200"/>
        <item x="85"/>
        <item x="274"/>
        <item x="31"/>
        <item x="327"/>
        <item x="231"/>
        <item x="539"/>
        <item x="95"/>
        <item x="313"/>
        <item x="355"/>
        <item x="273"/>
        <item x="526"/>
        <item x="205"/>
        <item x="338"/>
        <item x="391"/>
        <item x="246"/>
        <item x="328"/>
        <item x="535"/>
        <item x="312"/>
        <item x="543"/>
        <item x="443"/>
        <item x="438"/>
        <item x="437"/>
        <item x="189"/>
        <item x="214"/>
        <item x="361"/>
        <item x="325"/>
        <item x="270"/>
        <item x="491"/>
        <item x="374"/>
        <item x="17"/>
        <item x="278"/>
        <item x="269"/>
        <item x="476"/>
        <item x="216"/>
        <item x="68"/>
        <item x="299"/>
        <item x="250"/>
        <item x="550"/>
        <item x="109"/>
        <item x="286"/>
        <item x="302"/>
        <item x="254"/>
        <item x="498"/>
        <item x="232"/>
        <item x="434"/>
        <item x="558"/>
        <item x="212"/>
        <item x="215"/>
        <item x="329"/>
        <item x="210"/>
        <item x="420"/>
        <item x="88"/>
        <item x="390"/>
        <item x="404"/>
        <item x="435"/>
        <item x="154"/>
        <item x="288"/>
        <item x="105"/>
        <item x="301"/>
        <item x="340"/>
        <item x="337"/>
        <item x="118"/>
        <item x="292"/>
        <item x="488"/>
        <item x="165"/>
        <item x="97"/>
        <item x="86"/>
        <item x="442"/>
        <item x="245"/>
        <item x="183"/>
        <item x="18"/>
        <item x="321"/>
        <item x="360"/>
        <item x="522"/>
        <item x="330"/>
        <item x="314"/>
        <item x="289"/>
        <item x="364"/>
        <item x="108"/>
        <item x="381"/>
        <item x="72"/>
        <item x="239"/>
        <item x="552"/>
        <item x="132"/>
        <item x="306"/>
        <item x="213"/>
        <item x="19"/>
        <item x="513"/>
        <item x="516"/>
        <item x="30"/>
        <item x="430"/>
        <item x="223"/>
        <item x="349"/>
        <item x="49"/>
        <item x="197"/>
        <item x="427"/>
        <item x="489"/>
        <item x="520"/>
        <item x="219"/>
        <item x="323"/>
        <item x="175"/>
        <item x="259"/>
        <item x="417"/>
        <item x="69"/>
        <item x="171"/>
        <item x="459"/>
        <item x="517"/>
        <item x="378"/>
        <item x="397"/>
        <item x="322"/>
        <item x="422"/>
        <item x="444"/>
        <item x="242"/>
        <item x="82"/>
        <item x="12"/>
        <item x="228"/>
        <item x="542"/>
        <item x="115"/>
        <item x="521"/>
        <item x="196"/>
        <item x="419"/>
        <item x="54"/>
        <item x="21"/>
        <item x="206"/>
        <item x="66"/>
        <item x="84"/>
        <item x="362"/>
        <item x="510"/>
        <item x="147"/>
        <item x="386"/>
        <item x="36"/>
        <item x="401"/>
        <item x="432"/>
        <item x="405"/>
        <item x="319"/>
        <item x="153"/>
        <item x="271"/>
        <item x="461"/>
        <item x="375"/>
        <item x="492"/>
        <item x="161"/>
        <item x="4"/>
        <item x="433"/>
        <item x="496"/>
        <item x="20"/>
        <item x="541"/>
        <item x="80"/>
        <item x="393"/>
        <item x="487"/>
        <item x="460"/>
        <item x="518"/>
        <item x="464"/>
        <item x="562"/>
        <item x="388"/>
        <item x="243"/>
        <item x="566"/>
        <item x="479"/>
        <item x="136"/>
        <item x="446"/>
        <item x="310"/>
        <item x="255"/>
        <item x="103"/>
        <item x="469"/>
        <item x="29"/>
        <item x="497"/>
        <item x="547"/>
        <item x="92"/>
        <item x="102"/>
        <item x="193"/>
        <item x="357"/>
        <item x="77"/>
        <item x="385"/>
        <item x="504"/>
        <item x="359"/>
        <item x="472"/>
        <item x="343"/>
        <item x="457"/>
        <item x="311"/>
        <item x="225"/>
        <item x="445"/>
        <item x="139"/>
        <item x="73"/>
        <item x="93"/>
        <item x="248"/>
        <item x="368"/>
        <item x="135"/>
        <item x="238"/>
        <item x="63"/>
        <item x="106"/>
        <item x="415"/>
        <item x="450"/>
        <item x="331"/>
        <item x="494"/>
        <item x="505"/>
        <item x="528"/>
        <item x="334"/>
        <item x="339"/>
        <item x="45"/>
        <item x="211"/>
        <item x="456"/>
        <item x="486"/>
        <item x="293"/>
        <item x="560"/>
        <item x="261"/>
        <item x="471"/>
        <item x="511"/>
        <item x="241"/>
        <item x="264"/>
        <item x="545"/>
        <item x="484"/>
        <item x="480"/>
        <item x="247"/>
        <item x="143"/>
        <item x="529"/>
        <item x="11"/>
        <item x="230"/>
        <item x="287"/>
        <item x="440"/>
        <item x="237"/>
        <item x="162"/>
        <item x="523"/>
        <item x="37"/>
        <item x="307"/>
        <item x="275"/>
        <item x="260"/>
        <item x="56"/>
        <item x="2"/>
        <item x="377"/>
        <item x="363"/>
        <item x="333"/>
        <item x="8"/>
        <item x="89"/>
        <item x="502"/>
        <item x="524"/>
        <item x="60"/>
        <item x="544"/>
        <item x="51"/>
        <item x="348"/>
        <item x="426"/>
        <item x="117"/>
        <item x="571"/>
        <item x="229"/>
        <item x="173"/>
        <item x="166"/>
        <item x="140"/>
        <item x="249"/>
        <item x="423"/>
        <item x="305"/>
        <item x="148"/>
        <item x="174"/>
        <item x="244"/>
        <item x="158"/>
        <item x="32"/>
        <item x="208"/>
        <item x="74"/>
        <item x="466"/>
        <item x="563"/>
        <item x="203"/>
        <item x="222"/>
        <item x="389"/>
        <item x="150"/>
        <item x="394"/>
        <item x="403"/>
        <item x="13"/>
        <item x="217"/>
        <item x="366"/>
        <item x="455"/>
        <item x="235"/>
        <item x="170"/>
        <item x="48"/>
        <item x="356"/>
        <item x="272"/>
        <item x="500"/>
        <item x="253"/>
        <item x="65"/>
        <item x="34"/>
        <item x="90"/>
        <item x="530"/>
        <item x="131"/>
        <item x="78"/>
        <item x="475"/>
        <item x="1"/>
        <item x="407"/>
        <item x="141"/>
        <item x="46"/>
        <item x="157"/>
        <item x="495"/>
        <item x="44"/>
        <item x="263"/>
        <item x="53"/>
        <item x="116"/>
        <item x="61"/>
        <item x="452"/>
        <item x="425"/>
        <item x="137"/>
        <item x="324"/>
        <item x="114"/>
        <item x="191"/>
        <item x="406"/>
        <item x="376"/>
        <item x="551"/>
        <item x="554"/>
        <item x="298"/>
        <item x="549"/>
        <item x="15"/>
        <item x="326"/>
        <item x="300"/>
        <item x="258"/>
        <item x="382"/>
        <item x="144"/>
        <item x="184"/>
        <item x="91"/>
        <item x="399"/>
        <item x="507"/>
        <item x="351"/>
        <item x="352"/>
        <item x="16"/>
        <item x="347"/>
        <item x="482"/>
        <item x="201"/>
        <item x="251"/>
        <item x="458"/>
        <item x="429"/>
        <item x="128"/>
        <item x="559"/>
        <item x="424"/>
        <item x="121"/>
        <item x="111"/>
        <item x="411"/>
        <item x="519"/>
        <item x="224"/>
        <item x="392"/>
        <item x="262"/>
        <item x="178"/>
        <item x="220"/>
        <item x="514"/>
        <item x="454"/>
        <item x="501"/>
        <item x="414"/>
        <item x="134"/>
        <item x="79"/>
        <item x="279"/>
        <item x="481"/>
        <item x="99"/>
        <item x="290"/>
        <item x="546"/>
        <item x="448"/>
        <item x="104"/>
        <item x="418"/>
        <item x="453"/>
        <item t="default"/>
      </items>
    </pivotField>
    <pivotField numFmtId="14" showAll="0"/>
    <pivotField showAll="0"/>
    <pivotField showAll="0"/>
    <pivotField showAll="0"/>
    <pivotField showAll="0"/>
    <pivotField showAll="0"/>
    <pivotField showAll="0"/>
    <pivotField numFmtId="2" showAll="0"/>
    <pivotField dataField="1" numFmtId="2"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Days Past Due(DPD)"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8CB4D12E-D1BD-422F-A1AD-7332F61863F5}" sourceName="Customer">
  <pivotTables>
    <pivotTable tabId="6" name="PivotTable7"/>
  </pivotTables>
  <data>
    <tabular pivotCacheId="1960139029">
      <items count="5">
        <i x="2" s="1"/>
        <i x="4"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136714F7-2DAD-4CB9-8222-967146635C06}" sourceName="Years (Invoice Date)">
  <pivotTables>
    <pivotTable tabId="6" name="PivotTable7"/>
  </pivotTables>
  <data>
    <tabular pivotCacheId="1960139029">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94197D82-EFDA-4E80-BF29-6F313BBE47E5}" cache="Slicer_Customer" caption="Customer" showCaption="0" style="SlicerStyleOther2" rowHeight="603504"/>
  <slicer name="Years (Invoice Date)" xr10:uid="{8749CCB6-DF92-4876-9EBA-A492B879B4F1}" cache="Slicer_Years__Invoice_Date" caption="Years (Invoice Date)" showCaption="0" style="SlicerStyleOther2" rowHeight="100584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01"/>
  <sheetViews>
    <sheetView workbookViewId="0"/>
  </sheetViews>
  <sheetFormatPr defaultRowHeight="15" x14ac:dyDescent="0.25"/>
  <cols>
    <col min="1" max="1" width="8.42578125" bestFit="1" customWidth="1"/>
    <col min="2" max="2" width="12.7109375" bestFit="1" customWidth="1"/>
    <col min="3" max="3" width="16.28515625" style="1" bestFit="1" customWidth="1"/>
    <col min="4" max="4" width="12.140625" style="1" bestFit="1" customWidth="1"/>
    <col min="5" max="5" width="10.42578125" bestFit="1" customWidth="1"/>
    <col min="6" max="6" width="12" bestFit="1" customWidth="1"/>
    <col min="7" max="7" width="9.140625" bestFit="1" customWidth="1"/>
    <col min="8" max="8" width="18.7109375" style="1" bestFit="1" customWidth="1"/>
    <col min="9" max="9" width="8.7109375" bestFit="1" customWidth="1"/>
    <col min="10" max="10" width="26.42578125" bestFit="1" customWidth="1"/>
    <col min="11" max="11" width="21.140625" bestFit="1" customWidth="1"/>
    <col min="12" max="12" width="25.42578125" style="3" bestFit="1" customWidth="1"/>
    <col min="13" max="13" width="17" bestFit="1" customWidth="1"/>
    <col min="14" max="14" width="26.140625" bestFit="1" customWidth="1"/>
    <col min="15" max="15" width="19.7109375" bestFit="1" customWidth="1"/>
    <col min="16" max="16" width="19.7109375" customWidth="1"/>
    <col min="17" max="17" width="21.28515625" bestFit="1" customWidth="1"/>
    <col min="18" max="18" width="9.140625" customWidth="1"/>
    <col min="19" max="20" width="19.28515625" bestFit="1" customWidth="1"/>
  </cols>
  <sheetData>
    <row r="1" spans="1:19" ht="18.75" x14ac:dyDescent="0.25">
      <c r="A1" s="14" t="s">
        <v>0</v>
      </c>
      <c r="B1" s="14" t="s">
        <v>1</v>
      </c>
      <c r="C1" s="15" t="s">
        <v>922</v>
      </c>
      <c r="D1" s="15" t="s">
        <v>921</v>
      </c>
      <c r="E1" s="14" t="s">
        <v>2</v>
      </c>
      <c r="F1" s="14" t="s">
        <v>3</v>
      </c>
      <c r="G1" s="14" t="s">
        <v>4</v>
      </c>
      <c r="H1" s="15" t="s">
        <v>920</v>
      </c>
      <c r="I1" s="14" t="s">
        <v>5</v>
      </c>
      <c r="J1" s="14" t="s">
        <v>923</v>
      </c>
      <c r="K1" s="14" t="s">
        <v>929</v>
      </c>
      <c r="L1" s="16" t="s">
        <v>924</v>
      </c>
      <c r="M1" s="14" t="s">
        <v>925</v>
      </c>
      <c r="N1" s="14" t="s">
        <v>926</v>
      </c>
      <c r="O1" s="14" t="s">
        <v>928</v>
      </c>
      <c r="P1" s="14" t="s">
        <v>934</v>
      </c>
      <c r="Q1" s="14" t="s">
        <v>935</v>
      </c>
      <c r="R1" s="8"/>
    </row>
    <row r="2" spans="1:19" x14ac:dyDescent="0.25">
      <c r="A2" t="s">
        <v>6</v>
      </c>
      <c r="B2" t="s">
        <v>906</v>
      </c>
      <c r="C2" s="1">
        <v>45157</v>
      </c>
      <c r="D2" s="1">
        <v>45202</v>
      </c>
      <c r="E2">
        <v>6160.48</v>
      </c>
      <c r="F2" t="s">
        <v>911</v>
      </c>
      <c r="G2" t="s">
        <v>916</v>
      </c>
      <c r="I2" t="s">
        <v>919</v>
      </c>
      <c r="J2" t="b">
        <f t="shared" ref="J2:J65" si="0">ISBLANK(H2)</f>
        <v>1</v>
      </c>
      <c r="K2" s="3">
        <f t="shared" ref="K2:K65" ca="1" si="1">IF(G2="Received",
IF(H2="",TODAY()-C2,H2-C2),
TODAY()-C2)</f>
        <v>894</v>
      </c>
      <c r="L2" s="3">
        <f t="shared" ref="L2:L65" ca="1" si="2">IF(N2=0,0,TODAY()-D2)</f>
        <v>849</v>
      </c>
      <c r="M2" t="str">
        <f t="shared" ref="M2:M65" ca="1" si="3">IF(L2&gt;0,"Overdue","On Time")</f>
        <v>Overdue</v>
      </c>
      <c r="N2">
        <f>IF(G2="Received",0,E2)</f>
        <v>6160.48</v>
      </c>
      <c r="O2" t="str" cm="1">
        <f t="array" aca="1" ref="O2" ca="1">_xlfn.IFS(
L2&lt;=0,"Not Due",
L2&lt;=30,"0–30 Days",
L2&lt;=60,"31–60 Days",
L2&lt;=90,"61–90 Days",
L2&lt;=180,"91–180 Days",
L2&lt;=365,"181–365 Days",
L2&gt;365,"365+ Days (High Risk)"
)</f>
        <v>365+ Days (High Risk)</v>
      </c>
      <c r="P2">
        <f t="shared" ref="P2:P66" si="4">E2-N2</f>
        <v>0</v>
      </c>
      <c r="Q2" s="3">
        <f t="shared" ref="Q2:Q65" ca="1" si="5">IF(L2&gt;0, N2, 0)</f>
        <v>6160.48</v>
      </c>
      <c r="S2" s="3">
        <f ca="1">SUM(L2:L901)</f>
        <v>373827</v>
      </c>
    </row>
    <row r="3" spans="1:19" x14ac:dyDescent="0.25">
      <c r="A3" t="s">
        <v>7</v>
      </c>
      <c r="B3" t="s">
        <v>907</v>
      </c>
      <c r="C3" s="1">
        <v>45748</v>
      </c>
      <c r="D3" s="1">
        <v>45793</v>
      </c>
      <c r="E3">
        <v>995.04</v>
      </c>
      <c r="F3" t="s">
        <v>912</v>
      </c>
      <c r="G3" t="s">
        <v>917</v>
      </c>
      <c r="I3" t="s">
        <v>919</v>
      </c>
      <c r="J3" t="b">
        <f t="shared" si="0"/>
        <v>1</v>
      </c>
      <c r="K3" s="3">
        <f t="shared" ca="1" si="1"/>
        <v>303</v>
      </c>
      <c r="L3" s="3">
        <f t="shared" ca="1" si="2"/>
        <v>258</v>
      </c>
      <c r="M3" t="str">
        <f t="shared" ca="1" si="3"/>
        <v>Overdue</v>
      </c>
      <c r="N3">
        <f t="shared" ref="N3:N66" si="6">IF(G3="Received",0,E3)</f>
        <v>995.04</v>
      </c>
      <c r="O3" t="str" cm="1">
        <f t="array" aca="1" ref="O3" ca="1">_xlfn.IFS(
L3&lt;=0,"Not Due",
L3&lt;=30,"0–30 Days",
L3&lt;=60,"31–60 Days",
L3&lt;=90,"61–90 Days",
L3&lt;=180,"91–180 Days",
L3&lt;=365,"181–365 Days",
L3&gt;365,"365+ Days (High Risk)"
)</f>
        <v>181–365 Days</v>
      </c>
      <c r="P3">
        <f t="shared" si="4"/>
        <v>0</v>
      </c>
      <c r="Q3" s="3">
        <f t="shared" ca="1" si="5"/>
        <v>995.04</v>
      </c>
    </row>
    <row r="4" spans="1:19" x14ac:dyDescent="0.25">
      <c r="A4" t="s">
        <v>8</v>
      </c>
      <c r="B4" t="s">
        <v>906</v>
      </c>
      <c r="C4" s="1">
        <v>45651</v>
      </c>
      <c r="D4" s="1">
        <v>45696</v>
      </c>
      <c r="E4">
        <v>3936.29</v>
      </c>
      <c r="F4" t="s">
        <v>913</v>
      </c>
      <c r="G4" t="s">
        <v>917</v>
      </c>
      <c r="I4" t="s">
        <v>919</v>
      </c>
      <c r="J4" t="b">
        <f t="shared" si="0"/>
        <v>1</v>
      </c>
      <c r="K4" s="3">
        <f t="shared" ca="1" si="1"/>
        <v>400</v>
      </c>
      <c r="L4" s="3">
        <f t="shared" ca="1" si="2"/>
        <v>355</v>
      </c>
      <c r="M4" t="str">
        <f t="shared" ca="1" si="3"/>
        <v>Overdue</v>
      </c>
      <c r="N4">
        <f t="shared" si="6"/>
        <v>3936.29</v>
      </c>
      <c r="O4" t="str" cm="1">
        <f t="array" aca="1" ref="O4" ca="1">_xlfn.IFS(
L4&lt;=0,"Not Due",
L4&lt;=30,"0–30 Days",
L4&lt;=60,"31–60 Days",
L4&lt;=90,"61–90 Days",
L4&lt;=180,"91–180 Days",
L4&lt;=365,"181–365 Days",
L4&gt;365,"365+ Days (High Risk)"
)</f>
        <v>181–365 Days</v>
      </c>
      <c r="P4">
        <f t="shared" si="4"/>
        <v>0</v>
      </c>
      <c r="Q4" s="3">
        <f t="shared" ca="1" si="5"/>
        <v>3936.29</v>
      </c>
      <c r="S4" s="9" t="s">
        <v>927</v>
      </c>
    </row>
    <row r="5" spans="1:19" x14ac:dyDescent="0.25">
      <c r="A5" t="s">
        <v>9</v>
      </c>
      <c r="B5" t="s">
        <v>907</v>
      </c>
      <c r="C5" s="1">
        <v>45054</v>
      </c>
      <c r="D5" s="1">
        <v>45099</v>
      </c>
      <c r="E5">
        <v>3596.35</v>
      </c>
      <c r="F5" t="s">
        <v>913</v>
      </c>
      <c r="G5" t="s">
        <v>918</v>
      </c>
      <c r="H5" s="1">
        <v>45099</v>
      </c>
      <c r="I5" t="s">
        <v>919</v>
      </c>
      <c r="J5" t="b">
        <f t="shared" si="0"/>
        <v>0</v>
      </c>
      <c r="K5" s="3">
        <f t="shared" ca="1" si="1"/>
        <v>45</v>
      </c>
      <c r="L5" s="3">
        <f t="shared" ca="1" si="2"/>
        <v>0</v>
      </c>
      <c r="M5" t="str">
        <f t="shared" ca="1" si="3"/>
        <v>On Time</v>
      </c>
      <c r="N5">
        <f t="shared" si="6"/>
        <v>0</v>
      </c>
      <c r="O5" t="str" cm="1">
        <f t="array" aca="1" ref="O5" ca="1">_xlfn.IFS(
L5&lt;=0,"Not Due",
L5&lt;=30,"0–30 Days",
L5&lt;=60,"31–60 Days",
L5&lt;=90,"61–90 Days",
L5&lt;=180,"91–180 Days",
L5&lt;=365,"181–365 Days",
L5&gt;365,"365+ Days (High Risk)"
)</f>
        <v>Not Due</v>
      </c>
      <c r="P5">
        <f t="shared" si="4"/>
        <v>3596.35</v>
      </c>
      <c r="Q5" s="3">
        <f t="shared" ca="1" si="5"/>
        <v>0</v>
      </c>
      <c r="S5" s="2">
        <f>SUM(N2)/SUM((E2)*365)</f>
        <v>2.7397260273972603E-3</v>
      </c>
    </row>
    <row r="6" spans="1:19" x14ac:dyDescent="0.25">
      <c r="A6" t="s">
        <v>10</v>
      </c>
      <c r="B6" t="s">
        <v>908</v>
      </c>
      <c r="C6" s="1">
        <v>45511</v>
      </c>
      <c r="D6" s="1">
        <v>45556</v>
      </c>
      <c r="E6">
        <v>6577.57</v>
      </c>
      <c r="F6" t="s">
        <v>913</v>
      </c>
      <c r="G6" t="s">
        <v>918</v>
      </c>
      <c r="H6" s="1">
        <v>45556</v>
      </c>
      <c r="I6" t="s">
        <v>919</v>
      </c>
      <c r="J6" t="b">
        <f t="shared" si="0"/>
        <v>0</v>
      </c>
      <c r="K6" s="3">
        <f t="shared" ca="1" si="1"/>
        <v>45</v>
      </c>
      <c r="L6" s="3">
        <f t="shared" ca="1" si="2"/>
        <v>0</v>
      </c>
      <c r="M6" t="str">
        <f t="shared" ca="1" si="3"/>
        <v>On Time</v>
      </c>
      <c r="N6">
        <f t="shared" si="6"/>
        <v>0</v>
      </c>
      <c r="O6" t="str" cm="1">
        <f t="array" aca="1" ref="O6" ca="1">_xlfn.IFS(
L6&lt;=0,"Not Due",
L6&lt;=30,"0–30 Days",
L6&lt;=60,"31–60 Days",
L6&lt;=90,"61–90 Days",
L6&lt;=180,"91–180 Days",
L6&lt;=365,"181–365 Days",
L6&gt;365,"365+ Days (High Risk)"
)</f>
        <v>Not Due</v>
      </c>
      <c r="P6">
        <f t="shared" si="4"/>
        <v>6577.57</v>
      </c>
      <c r="Q6" s="3">
        <f t="shared" ca="1" si="5"/>
        <v>0</v>
      </c>
    </row>
    <row r="7" spans="1:19" x14ac:dyDescent="0.25">
      <c r="A7" t="s">
        <v>11</v>
      </c>
      <c r="B7" t="s">
        <v>909</v>
      </c>
      <c r="C7" s="1">
        <v>45075</v>
      </c>
      <c r="D7" s="1">
        <v>45120</v>
      </c>
      <c r="E7">
        <v>6985.23</v>
      </c>
      <c r="F7" t="s">
        <v>914</v>
      </c>
      <c r="G7" t="s">
        <v>917</v>
      </c>
      <c r="I7" t="s">
        <v>919</v>
      </c>
      <c r="J7" t="b">
        <f t="shared" si="0"/>
        <v>1</v>
      </c>
      <c r="K7" s="3">
        <f t="shared" ca="1" si="1"/>
        <v>976</v>
      </c>
      <c r="L7" s="3">
        <f t="shared" ca="1" si="2"/>
        <v>931</v>
      </c>
      <c r="M7" t="str">
        <f t="shared" ca="1" si="3"/>
        <v>Overdue</v>
      </c>
      <c r="N7">
        <f t="shared" si="6"/>
        <v>6985.23</v>
      </c>
      <c r="O7" t="str" cm="1">
        <f t="array" aca="1" ref="O7" ca="1">_xlfn.IFS(
L7&lt;=0,"Not Due",
L7&lt;=30,"0–30 Days",
L7&lt;=60,"31–60 Days",
L7&lt;=90,"61–90 Days",
L7&lt;=180,"91–180 Days",
L7&lt;=365,"181–365 Days",
L7&gt;365,"365+ Days (High Risk)"
)</f>
        <v>365+ Days (High Risk)</v>
      </c>
      <c r="P7">
        <f t="shared" si="4"/>
        <v>0</v>
      </c>
      <c r="Q7" s="3">
        <f t="shared" ca="1" si="5"/>
        <v>6985.23</v>
      </c>
    </row>
    <row r="8" spans="1:19" x14ac:dyDescent="0.25">
      <c r="A8" t="s">
        <v>12</v>
      </c>
      <c r="B8" t="s">
        <v>908</v>
      </c>
      <c r="C8" s="1">
        <v>45221</v>
      </c>
      <c r="D8" s="1">
        <v>45266</v>
      </c>
      <c r="E8">
        <v>6637.46</v>
      </c>
      <c r="F8" t="s">
        <v>915</v>
      </c>
      <c r="G8" t="s">
        <v>918</v>
      </c>
      <c r="H8" s="1">
        <v>45266</v>
      </c>
      <c r="I8" t="s">
        <v>919</v>
      </c>
      <c r="J8" t="b">
        <f t="shared" si="0"/>
        <v>0</v>
      </c>
      <c r="K8" s="3">
        <f t="shared" ca="1" si="1"/>
        <v>45</v>
      </c>
      <c r="L8" s="3">
        <f t="shared" ca="1" si="2"/>
        <v>0</v>
      </c>
      <c r="M8" t="str">
        <f t="shared" ca="1" si="3"/>
        <v>On Time</v>
      </c>
      <c r="N8">
        <f t="shared" si="6"/>
        <v>0</v>
      </c>
      <c r="O8" t="str" cm="1">
        <f t="array" aca="1" ref="O8" ca="1">_xlfn.IFS(
L8&lt;=0,"Not Due",
L8&lt;=30,"0–30 Days",
L8&lt;=60,"31–60 Days",
L8&lt;=90,"61–90 Days",
L8&lt;=180,"91–180 Days",
L8&lt;=365,"181–365 Days",
L8&gt;365,"365+ Days (High Risk)"
)</f>
        <v>Not Due</v>
      </c>
      <c r="P8">
        <f t="shared" si="4"/>
        <v>6637.46</v>
      </c>
      <c r="Q8" s="3">
        <f t="shared" ca="1" si="5"/>
        <v>0</v>
      </c>
    </row>
    <row r="9" spans="1:19" x14ac:dyDescent="0.25">
      <c r="A9" t="s">
        <v>13</v>
      </c>
      <c r="B9" t="s">
        <v>910</v>
      </c>
      <c r="C9" s="1">
        <v>45233</v>
      </c>
      <c r="D9" s="1">
        <v>45278</v>
      </c>
      <c r="E9">
        <v>4099.3</v>
      </c>
      <c r="F9" t="s">
        <v>911</v>
      </c>
      <c r="G9" t="s">
        <v>916</v>
      </c>
      <c r="I9" t="s">
        <v>919</v>
      </c>
      <c r="J9" t="b">
        <f t="shared" si="0"/>
        <v>1</v>
      </c>
      <c r="K9" s="3">
        <f t="shared" ca="1" si="1"/>
        <v>818</v>
      </c>
      <c r="L9" s="3">
        <f t="shared" ca="1" si="2"/>
        <v>773</v>
      </c>
      <c r="M9" t="str">
        <f t="shared" ca="1" si="3"/>
        <v>Overdue</v>
      </c>
      <c r="N9">
        <f t="shared" si="6"/>
        <v>4099.3</v>
      </c>
      <c r="O9" t="str" cm="1">
        <f t="array" aca="1" ref="O9" ca="1">_xlfn.IFS(
L9&lt;=0,"Not Due",
L9&lt;=30,"0–30 Days",
L9&lt;=60,"31–60 Days",
L9&lt;=90,"61–90 Days",
L9&lt;=180,"91–180 Days",
L9&lt;=365,"181–365 Days",
L9&gt;365,"365+ Days (High Risk)"
)</f>
        <v>365+ Days (High Risk)</v>
      </c>
      <c r="P9">
        <f t="shared" si="4"/>
        <v>0</v>
      </c>
      <c r="Q9" s="3">
        <f t="shared" ca="1" si="5"/>
        <v>4099.3</v>
      </c>
    </row>
    <row r="10" spans="1:19" x14ac:dyDescent="0.25">
      <c r="A10" t="s">
        <v>14</v>
      </c>
      <c r="B10" t="s">
        <v>910</v>
      </c>
      <c r="C10" s="1">
        <v>45662</v>
      </c>
      <c r="D10" s="1">
        <v>45707</v>
      </c>
      <c r="E10">
        <v>3578.15</v>
      </c>
      <c r="F10" t="s">
        <v>913</v>
      </c>
      <c r="G10" t="s">
        <v>918</v>
      </c>
      <c r="H10" s="1">
        <v>45707</v>
      </c>
      <c r="I10" t="s">
        <v>919</v>
      </c>
      <c r="J10" t="b">
        <f t="shared" si="0"/>
        <v>0</v>
      </c>
      <c r="K10" s="3">
        <f t="shared" ca="1" si="1"/>
        <v>45</v>
      </c>
      <c r="L10" s="3">
        <f t="shared" ca="1" si="2"/>
        <v>0</v>
      </c>
      <c r="M10" t="str">
        <f t="shared" ca="1" si="3"/>
        <v>On Time</v>
      </c>
      <c r="N10">
        <f t="shared" si="6"/>
        <v>0</v>
      </c>
      <c r="O10" t="str" cm="1">
        <f t="array" aca="1" ref="O10" ca="1">_xlfn.IFS(
L10&lt;=0,"Not Due",
L10&lt;=30,"0–30 Days",
L10&lt;=60,"31–60 Days",
L10&lt;=90,"61–90 Days",
L10&lt;=180,"91–180 Days",
L10&lt;=365,"181–365 Days",
L10&gt;365,"365+ Days (High Risk)"
)</f>
        <v>Not Due</v>
      </c>
      <c r="P10">
        <f t="shared" si="4"/>
        <v>3578.15</v>
      </c>
      <c r="Q10" s="3">
        <f t="shared" ca="1" si="5"/>
        <v>0</v>
      </c>
    </row>
    <row r="11" spans="1:19" x14ac:dyDescent="0.25">
      <c r="A11" t="s">
        <v>15</v>
      </c>
      <c r="B11" t="s">
        <v>910</v>
      </c>
      <c r="C11" s="1">
        <v>45271</v>
      </c>
      <c r="D11" s="1">
        <v>45316</v>
      </c>
      <c r="E11">
        <v>2670.06</v>
      </c>
      <c r="F11" t="s">
        <v>912</v>
      </c>
      <c r="G11" t="s">
        <v>916</v>
      </c>
      <c r="I11" t="s">
        <v>919</v>
      </c>
      <c r="J11" t="b">
        <f t="shared" si="0"/>
        <v>1</v>
      </c>
      <c r="K11" s="3">
        <f t="shared" ca="1" si="1"/>
        <v>780</v>
      </c>
      <c r="L11" s="3">
        <f t="shared" ca="1" si="2"/>
        <v>735</v>
      </c>
      <c r="M11" t="str">
        <f t="shared" ca="1" si="3"/>
        <v>Overdue</v>
      </c>
      <c r="N11">
        <f t="shared" si="6"/>
        <v>2670.06</v>
      </c>
      <c r="O11" t="str" cm="1">
        <f t="array" aca="1" ref="O11" ca="1">_xlfn.IFS(
L11&lt;=0,"Not Due",
L11&lt;=30,"0–30 Days",
L11&lt;=60,"31–60 Days",
L11&lt;=90,"61–90 Days",
L11&lt;=180,"91–180 Days",
L11&lt;=365,"181–365 Days",
L11&gt;365,"365+ Days (High Risk)"
)</f>
        <v>365+ Days (High Risk)</v>
      </c>
      <c r="P11">
        <f t="shared" si="4"/>
        <v>0</v>
      </c>
      <c r="Q11" s="3">
        <f t="shared" ca="1" si="5"/>
        <v>2670.06</v>
      </c>
    </row>
    <row r="12" spans="1:19" x14ac:dyDescent="0.25">
      <c r="A12" t="s">
        <v>16</v>
      </c>
      <c r="B12" t="s">
        <v>908</v>
      </c>
      <c r="C12" s="1">
        <v>45163</v>
      </c>
      <c r="D12" s="1">
        <v>45208</v>
      </c>
      <c r="E12">
        <v>3602.98</v>
      </c>
      <c r="F12" t="s">
        <v>913</v>
      </c>
      <c r="G12" t="s">
        <v>917</v>
      </c>
      <c r="I12" t="s">
        <v>919</v>
      </c>
      <c r="J12" t="b">
        <f t="shared" si="0"/>
        <v>1</v>
      </c>
      <c r="K12" s="3">
        <f t="shared" ca="1" si="1"/>
        <v>888</v>
      </c>
      <c r="L12" s="3">
        <f t="shared" ca="1" si="2"/>
        <v>843</v>
      </c>
      <c r="M12" t="str">
        <f t="shared" ca="1" si="3"/>
        <v>Overdue</v>
      </c>
      <c r="N12">
        <f t="shared" si="6"/>
        <v>3602.98</v>
      </c>
      <c r="O12" t="str" cm="1">
        <f t="array" aca="1" ref="O12" ca="1">_xlfn.IFS(
L12&lt;=0,"Not Due",
L12&lt;=30,"0–30 Days",
L12&lt;=60,"31–60 Days",
L12&lt;=90,"61–90 Days",
L12&lt;=180,"91–180 Days",
L12&lt;=365,"181–365 Days",
L12&gt;365,"365+ Days (High Risk)"
)</f>
        <v>365+ Days (High Risk)</v>
      </c>
      <c r="P12">
        <f t="shared" si="4"/>
        <v>0</v>
      </c>
      <c r="Q12" s="3">
        <f t="shared" ca="1" si="5"/>
        <v>3602.98</v>
      </c>
    </row>
    <row r="13" spans="1:19" x14ac:dyDescent="0.25">
      <c r="A13" t="s">
        <v>17</v>
      </c>
      <c r="B13" t="s">
        <v>907</v>
      </c>
      <c r="C13" s="1">
        <v>45631</v>
      </c>
      <c r="D13" s="1">
        <v>45676</v>
      </c>
      <c r="E13">
        <v>1107.56</v>
      </c>
      <c r="F13" t="s">
        <v>912</v>
      </c>
      <c r="G13" t="s">
        <v>916</v>
      </c>
      <c r="I13" t="s">
        <v>919</v>
      </c>
      <c r="J13" t="b">
        <f t="shared" si="0"/>
        <v>1</v>
      </c>
      <c r="K13" s="3">
        <f t="shared" ca="1" si="1"/>
        <v>420</v>
      </c>
      <c r="L13" s="3">
        <f t="shared" ca="1" si="2"/>
        <v>375</v>
      </c>
      <c r="M13" t="str">
        <f t="shared" ca="1" si="3"/>
        <v>Overdue</v>
      </c>
      <c r="N13">
        <f t="shared" si="6"/>
        <v>1107.56</v>
      </c>
      <c r="O13" t="str" cm="1">
        <f t="array" aca="1" ref="O13" ca="1">_xlfn.IFS(
L13&lt;=0,"Not Due",
L13&lt;=30,"0–30 Days",
L13&lt;=60,"31–60 Days",
L13&lt;=90,"61–90 Days",
L13&lt;=180,"91–180 Days",
L13&lt;=365,"181–365 Days",
L13&gt;365,"365+ Days (High Risk)"
)</f>
        <v>365+ Days (High Risk)</v>
      </c>
      <c r="P13">
        <f t="shared" si="4"/>
        <v>0</v>
      </c>
      <c r="Q13" s="3">
        <f t="shared" ca="1" si="5"/>
        <v>1107.56</v>
      </c>
    </row>
    <row r="14" spans="1:19" x14ac:dyDescent="0.25">
      <c r="A14" t="s">
        <v>18</v>
      </c>
      <c r="B14" t="s">
        <v>909</v>
      </c>
      <c r="C14" s="1">
        <v>45466</v>
      </c>
      <c r="D14" s="1">
        <v>45511</v>
      </c>
      <c r="E14">
        <v>4604.67</v>
      </c>
      <c r="F14" t="s">
        <v>914</v>
      </c>
      <c r="G14" t="s">
        <v>918</v>
      </c>
      <c r="H14" s="1">
        <v>45511</v>
      </c>
      <c r="I14" t="s">
        <v>919</v>
      </c>
      <c r="J14" t="b">
        <f t="shared" si="0"/>
        <v>0</v>
      </c>
      <c r="K14" s="3">
        <f t="shared" ca="1" si="1"/>
        <v>45</v>
      </c>
      <c r="L14" s="3">
        <f t="shared" ca="1" si="2"/>
        <v>0</v>
      </c>
      <c r="M14" t="str">
        <f t="shared" ca="1" si="3"/>
        <v>On Time</v>
      </c>
      <c r="N14">
        <f t="shared" si="6"/>
        <v>0</v>
      </c>
      <c r="O14" t="str" cm="1">
        <f t="array" aca="1" ref="O14" ca="1">_xlfn.IFS(
L14&lt;=0,"Not Due",
L14&lt;=30,"0–30 Days",
L14&lt;=60,"31–60 Days",
L14&lt;=90,"61–90 Days",
L14&lt;=180,"91–180 Days",
L14&lt;=365,"181–365 Days",
L14&gt;365,"365+ Days (High Risk)"
)</f>
        <v>Not Due</v>
      </c>
      <c r="P14">
        <f t="shared" si="4"/>
        <v>4604.67</v>
      </c>
      <c r="Q14" s="3">
        <f t="shared" ca="1" si="5"/>
        <v>0</v>
      </c>
    </row>
    <row r="15" spans="1:19" x14ac:dyDescent="0.25">
      <c r="A15" t="s">
        <v>19</v>
      </c>
      <c r="B15" t="s">
        <v>908</v>
      </c>
      <c r="C15" s="1">
        <v>45720</v>
      </c>
      <c r="D15" s="1">
        <v>45765</v>
      </c>
      <c r="E15">
        <v>1209.22</v>
      </c>
      <c r="F15" t="s">
        <v>912</v>
      </c>
      <c r="G15" t="s">
        <v>916</v>
      </c>
      <c r="I15" t="s">
        <v>919</v>
      </c>
      <c r="J15" t="b">
        <f t="shared" si="0"/>
        <v>1</v>
      </c>
      <c r="K15" s="3">
        <f t="shared" ca="1" si="1"/>
        <v>331</v>
      </c>
      <c r="L15" s="3">
        <f t="shared" ca="1" si="2"/>
        <v>286</v>
      </c>
      <c r="M15" t="str">
        <f t="shared" ca="1" si="3"/>
        <v>Overdue</v>
      </c>
      <c r="N15">
        <f t="shared" si="6"/>
        <v>1209.22</v>
      </c>
      <c r="O15" t="str" cm="1">
        <f t="array" aca="1" ref="O15" ca="1">_xlfn.IFS(
L15&lt;=0,"Not Due",
L15&lt;=30,"0–30 Days",
L15&lt;=60,"31–60 Days",
L15&lt;=90,"61–90 Days",
L15&lt;=180,"91–180 Days",
L15&lt;=365,"181–365 Days",
L15&gt;365,"365+ Days (High Risk)"
)</f>
        <v>181–365 Days</v>
      </c>
      <c r="P15">
        <f t="shared" si="4"/>
        <v>0</v>
      </c>
      <c r="Q15" s="3">
        <f t="shared" ca="1" si="5"/>
        <v>1209.22</v>
      </c>
    </row>
    <row r="16" spans="1:19" x14ac:dyDescent="0.25">
      <c r="A16" t="s">
        <v>20</v>
      </c>
      <c r="B16" t="s">
        <v>907</v>
      </c>
      <c r="C16" s="1">
        <v>45045</v>
      </c>
      <c r="D16" s="1">
        <v>45090</v>
      </c>
      <c r="E16">
        <v>1688.61</v>
      </c>
      <c r="F16" t="s">
        <v>913</v>
      </c>
      <c r="G16" t="s">
        <v>916</v>
      </c>
      <c r="I16" t="s">
        <v>919</v>
      </c>
      <c r="J16" t="b">
        <f t="shared" si="0"/>
        <v>1</v>
      </c>
      <c r="K16" s="3">
        <f t="shared" ca="1" si="1"/>
        <v>1006</v>
      </c>
      <c r="L16" s="3">
        <f t="shared" ca="1" si="2"/>
        <v>961</v>
      </c>
      <c r="M16" t="str">
        <f t="shared" ca="1" si="3"/>
        <v>Overdue</v>
      </c>
      <c r="N16">
        <f t="shared" si="6"/>
        <v>1688.61</v>
      </c>
      <c r="O16" t="str" cm="1">
        <f t="array" aca="1" ref="O16" ca="1">_xlfn.IFS(
L16&lt;=0,"Not Due",
L16&lt;=30,"0–30 Days",
L16&lt;=60,"31–60 Days",
L16&lt;=90,"61–90 Days",
L16&lt;=180,"91–180 Days",
L16&lt;=365,"181–365 Days",
L16&gt;365,"365+ Days (High Risk)"
)</f>
        <v>365+ Days (High Risk)</v>
      </c>
      <c r="P16">
        <f t="shared" si="4"/>
        <v>0</v>
      </c>
      <c r="Q16" s="3">
        <f t="shared" ca="1" si="5"/>
        <v>1688.61</v>
      </c>
    </row>
    <row r="17" spans="1:17" x14ac:dyDescent="0.25">
      <c r="A17" t="s">
        <v>21</v>
      </c>
      <c r="B17" t="s">
        <v>908</v>
      </c>
      <c r="C17" s="1">
        <v>45776</v>
      </c>
      <c r="D17" s="1">
        <v>45821</v>
      </c>
      <c r="E17">
        <v>3982.02</v>
      </c>
      <c r="F17" t="s">
        <v>912</v>
      </c>
      <c r="G17" t="s">
        <v>918</v>
      </c>
      <c r="H17" s="1">
        <v>45821</v>
      </c>
      <c r="I17" t="s">
        <v>919</v>
      </c>
      <c r="J17" t="b">
        <f t="shared" si="0"/>
        <v>0</v>
      </c>
      <c r="K17" s="3">
        <f t="shared" ca="1" si="1"/>
        <v>45</v>
      </c>
      <c r="L17" s="3">
        <f t="shared" ca="1" si="2"/>
        <v>0</v>
      </c>
      <c r="M17" t="str">
        <f t="shared" ca="1" si="3"/>
        <v>On Time</v>
      </c>
      <c r="N17">
        <f t="shared" si="6"/>
        <v>0</v>
      </c>
      <c r="O17" t="str" cm="1">
        <f t="array" aca="1" ref="O17" ca="1">_xlfn.IFS(
L17&lt;=0,"Not Due",
L17&lt;=30,"0–30 Days",
L17&lt;=60,"31–60 Days",
L17&lt;=90,"61–90 Days",
L17&lt;=180,"91–180 Days",
L17&lt;=365,"181–365 Days",
L17&gt;365,"365+ Days (High Risk)"
)</f>
        <v>Not Due</v>
      </c>
      <c r="P17">
        <f t="shared" si="4"/>
        <v>3982.02</v>
      </c>
      <c r="Q17" s="3">
        <f t="shared" ca="1" si="5"/>
        <v>0</v>
      </c>
    </row>
    <row r="18" spans="1:17" x14ac:dyDescent="0.25">
      <c r="A18" t="s">
        <v>22</v>
      </c>
      <c r="B18" t="s">
        <v>909</v>
      </c>
      <c r="C18" s="1">
        <v>45793</v>
      </c>
      <c r="D18" s="1">
        <v>45838</v>
      </c>
      <c r="E18">
        <v>4357.75</v>
      </c>
      <c r="F18" t="s">
        <v>912</v>
      </c>
      <c r="G18" t="s">
        <v>917</v>
      </c>
      <c r="I18" t="s">
        <v>919</v>
      </c>
      <c r="J18" t="b">
        <f t="shared" si="0"/>
        <v>1</v>
      </c>
      <c r="K18" s="3">
        <f t="shared" ca="1" si="1"/>
        <v>258</v>
      </c>
      <c r="L18" s="3">
        <f t="shared" ca="1" si="2"/>
        <v>213</v>
      </c>
      <c r="M18" t="str">
        <f t="shared" ca="1" si="3"/>
        <v>Overdue</v>
      </c>
      <c r="N18">
        <f t="shared" si="6"/>
        <v>4357.75</v>
      </c>
      <c r="O18" t="str" cm="1">
        <f t="array" aca="1" ref="O18" ca="1">_xlfn.IFS(
L18&lt;=0,"Not Due",
L18&lt;=30,"0–30 Days",
L18&lt;=60,"31–60 Days",
L18&lt;=90,"61–90 Days",
L18&lt;=180,"91–180 Days",
L18&lt;=365,"181–365 Days",
L18&gt;365,"365+ Days (High Risk)"
)</f>
        <v>181–365 Days</v>
      </c>
      <c r="P18">
        <f t="shared" si="4"/>
        <v>0</v>
      </c>
      <c r="Q18" s="3">
        <f t="shared" ca="1" si="5"/>
        <v>4357.75</v>
      </c>
    </row>
    <row r="19" spans="1:17" x14ac:dyDescent="0.25">
      <c r="A19" t="s">
        <v>23</v>
      </c>
      <c r="B19" t="s">
        <v>906</v>
      </c>
      <c r="C19" s="1">
        <v>45320</v>
      </c>
      <c r="D19" s="1">
        <v>45365</v>
      </c>
      <c r="E19">
        <v>4297.67</v>
      </c>
      <c r="F19" t="s">
        <v>912</v>
      </c>
      <c r="G19" t="s">
        <v>918</v>
      </c>
      <c r="H19" s="1">
        <v>45365</v>
      </c>
      <c r="I19" t="s">
        <v>919</v>
      </c>
      <c r="J19" t="b">
        <f t="shared" si="0"/>
        <v>0</v>
      </c>
      <c r="K19" s="3">
        <f t="shared" ca="1" si="1"/>
        <v>45</v>
      </c>
      <c r="L19" s="3">
        <f t="shared" ca="1" si="2"/>
        <v>0</v>
      </c>
      <c r="M19" t="str">
        <f t="shared" ca="1" si="3"/>
        <v>On Time</v>
      </c>
      <c r="N19">
        <f t="shared" si="6"/>
        <v>0</v>
      </c>
      <c r="O19" t="str" cm="1">
        <f t="array" aca="1" ref="O19" ca="1">_xlfn.IFS(
L19&lt;=0,"Not Due",
L19&lt;=30,"0–30 Days",
L19&lt;=60,"31–60 Days",
L19&lt;=90,"61–90 Days",
L19&lt;=180,"91–180 Days",
L19&lt;=365,"181–365 Days",
L19&gt;365,"365+ Days (High Risk)"
)</f>
        <v>Not Due</v>
      </c>
      <c r="P19">
        <f t="shared" si="4"/>
        <v>4297.67</v>
      </c>
      <c r="Q19" s="3">
        <f t="shared" ca="1" si="5"/>
        <v>0</v>
      </c>
    </row>
    <row r="20" spans="1:17" x14ac:dyDescent="0.25">
      <c r="A20" t="s">
        <v>24</v>
      </c>
      <c r="B20" t="s">
        <v>908</v>
      </c>
      <c r="C20" s="1">
        <v>45391</v>
      </c>
      <c r="D20" s="1">
        <v>45436</v>
      </c>
      <c r="E20">
        <v>3074.66</v>
      </c>
      <c r="F20" t="s">
        <v>911</v>
      </c>
      <c r="G20" t="s">
        <v>917</v>
      </c>
      <c r="I20" t="s">
        <v>919</v>
      </c>
      <c r="J20" t="b">
        <f t="shared" si="0"/>
        <v>1</v>
      </c>
      <c r="K20" s="3">
        <f t="shared" ca="1" si="1"/>
        <v>660</v>
      </c>
      <c r="L20" s="3">
        <f t="shared" ca="1" si="2"/>
        <v>615</v>
      </c>
      <c r="M20" t="str">
        <f t="shared" ca="1" si="3"/>
        <v>Overdue</v>
      </c>
      <c r="N20">
        <f t="shared" si="6"/>
        <v>3074.66</v>
      </c>
      <c r="O20" t="str" cm="1">
        <f t="array" aca="1" ref="O20" ca="1">_xlfn.IFS(
L20&lt;=0,"Not Due",
L20&lt;=30,"0–30 Days",
L20&lt;=60,"31–60 Days",
L20&lt;=90,"61–90 Days",
L20&lt;=180,"91–180 Days",
L20&lt;=365,"181–365 Days",
L20&gt;365,"365+ Days (High Risk)"
)</f>
        <v>365+ Days (High Risk)</v>
      </c>
      <c r="P20">
        <f t="shared" si="4"/>
        <v>0</v>
      </c>
      <c r="Q20" s="3">
        <f t="shared" ca="1" si="5"/>
        <v>3074.66</v>
      </c>
    </row>
    <row r="21" spans="1:17" x14ac:dyDescent="0.25">
      <c r="A21" t="s">
        <v>25</v>
      </c>
      <c r="B21" t="s">
        <v>909</v>
      </c>
      <c r="C21" s="1">
        <v>45420</v>
      </c>
      <c r="D21" s="1">
        <v>45465</v>
      </c>
      <c r="E21">
        <v>7987.42</v>
      </c>
      <c r="F21" t="s">
        <v>911</v>
      </c>
      <c r="G21" t="s">
        <v>916</v>
      </c>
      <c r="I21" t="s">
        <v>919</v>
      </c>
      <c r="J21" t="b">
        <f t="shared" si="0"/>
        <v>1</v>
      </c>
      <c r="K21" s="3">
        <f t="shared" ca="1" si="1"/>
        <v>631</v>
      </c>
      <c r="L21" s="3">
        <f t="shared" ca="1" si="2"/>
        <v>586</v>
      </c>
      <c r="M21" t="str">
        <f t="shared" ca="1" si="3"/>
        <v>Overdue</v>
      </c>
      <c r="N21">
        <f t="shared" si="6"/>
        <v>7987.42</v>
      </c>
      <c r="O21" t="str" cm="1">
        <f t="array" aca="1" ref="O21" ca="1">_xlfn.IFS(
L21&lt;=0,"Not Due",
L21&lt;=30,"0–30 Days",
L21&lt;=60,"31–60 Days",
L21&lt;=90,"61–90 Days",
L21&lt;=180,"91–180 Days",
L21&lt;=365,"181–365 Days",
L21&gt;365,"365+ Days (High Risk)"
)</f>
        <v>365+ Days (High Risk)</v>
      </c>
      <c r="P21">
        <f t="shared" si="4"/>
        <v>0</v>
      </c>
      <c r="Q21" s="3">
        <f t="shared" ca="1" si="5"/>
        <v>7987.42</v>
      </c>
    </row>
    <row r="22" spans="1:17" x14ac:dyDescent="0.25">
      <c r="A22" t="s">
        <v>26</v>
      </c>
      <c r="B22" t="s">
        <v>907</v>
      </c>
      <c r="C22" s="1">
        <v>45516</v>
      </c>
      <c r="D22" s="1">
        <v>45561</v>
      </c>
      <c r="E22">
        <v>1932.36</v>
      </c>
      <c r="F22" t="s">
        <v>915</v>
      </c>
      <c r="G22" t="s">
        <v>918</v>
      </c>
      <c r="H22" s="1">
        <v>45561</v>
      </c>
      <c r="I22" t="s">
        <v>919</v>
      </c>
      <c r="J22" t="b">
        <f t="shared" si="0"/>
        <v>0</v>
      </c>
      <c r="K22" s="3">
        <f t="shared" ca="1" si="1"/>
        <v>45</v>
      </c>
      <c r="L22" s="3">
        <f t="shared" ca="1" si="2"/>
        <v>0</v>
      </c>
      <c r="M22" t="str">
        <f t="shared" ca="1" si="3"/>
        <v>On Time</v>
      </c>
      <c r="N22">
        <f t="shared" si="6"/>
        <v>0</v>
      </c>
      <c r="O22" t="str" cm="1">
        <f t="array" aca="1" ref="O22" ca="1">_xlfn.IFS(
L22&lt;=0,"Not Due",
L22&lt;=30,"0–30 Days",
L22&lt;=60,"31–60 Days",
L22&lt;=90,"61–90 Days",
L22&lt;=180,"91–180 Days",
L22&lt;=365,"181–365 Days",
L22&gt;365,"365+ Days (High Risk)"
)</f>
        <v>Not Due</v>
      </c>
      <c r="P22">
        <f t="shared" si="4"/>
        <v>1932.36</v>
      </c>
      <c r="Q22" s="3">
        <f t="shared" ca="1" si="5"/>
        <v>0</v>
      </c>
    </row>
    <row r="23" spans="1:17" x14ac:dyDescent="0.25">
      <c r="A23" t="s">
        <v>27</v>
      </c>
      <c r="B23" t="s">
        <v>908</v>
      </c>
      <c r="C23" s="1">
        <v>45481</v>
      </c>
      <c r="D23" s="1">
        <v>45526</v>
      </c>
      <c r="E23">
        <v>5384.07</v>
      </c>
      <c r="F23" t="s">
        <v>912</v>
      </c>
      <c r="G23" t="s">
        <v>917</v>
      </c>
      <c r="I23" t="s">
        <v>919</v>
      </c>
      <c r="J23" t="b">
        <f t="shared" si="0"/>
        <v>1</v>
      </c>
      <c r="K23" s="3">
        <f t="shared" ca="1" si="1"/>
        <v>570</v>
      </c>
      <c r="L23" s="3">
        <f t="shared" ca="1" si="2"/>
        <v>525</v>
      </c>
      <c r="M23" t="str">
        <f t="shared" ca="1" si="3"/>
        <v>Overdue</v>
      </c>
      <c r="N23">
        <f t="shared" si="6"/>
        <v>5384.07</v>
      </c>
      <c r="O23" t="str" cm="1">
        <f t="array" aca="1" ref="O23" ca="1">_xlfn.IFS(
L23&lt;=0,"Not Due",
L23&lt;=30,"0–30 Days",
L23&lt;=60,"31–60 Days",
L23&lt;=90,"61–90 Days",
L23&lt;=180,"91–180 Days",
L23&lt;=365,"181–365 Days",
L23&gt;365,"365+ Days (High Risk)"
)</f>
        <v>365+ Days (High Risk)</v>
      </c>
      <c r="P23">
        <f t="shared" si="4"/>
        <v>0</v>
      </c>
      <c r="Q23" s="3">
        <f t="shared" ca="1" si="5"/>
        <v>5384.07</v>
      </c>
    </row>
    <row r="24" spans="1:17" x14ac:dyDescent="0.25">
      <c r="A24" t="s">
        <v>28</v>
      </c>
      <c r="B24" t="s">
        <v>906</v>
      </c>
      <c r="C24" s="1">
        <v>45121</v>
      </c>
      <c r="D24" s="1">
        <v>45166</v>
      </c>
      <c r="E24">
        <v>5931.01</v>
      </c>
      <c r="F24" t="s">
        <v>913</v>
      </c>
      <c r="G24" t="s">
        <v>916</v>
      </c>
      <c r="I24" t="s">
        <v>919</v>
      </c>
      <c r="J24" t="b">
        <f t="shared" si="0"/>
        <v>1</v>
      </c>
      <c r="K24" s="3">
        <f t="shared" ca="1" si="1"/>
        <v>930</v>
      </c>
      <c r="L24" s="3">
        <f t="shared" ca="1" si="2"/>
        <v>885</v>
      </c>
      <c r="M24" t="str">
        <f t="shared" ca="1" si="3"/>
        <v>Overdue</v>
      </c>
      <c r="N24">
        <f t="shared" si="6"/>
        <v>5931.01</v>
      </c>
      <c r="O24" t="str" cm="1">
        <f t="array" aca="1" ref="O24" ca="1">_xlfn.IFS(
L24&lt;=0,"Not Due",
L24&lt;=30,"0–30 Days",
L24&lt;=60,"31–60 Days",
L24&lt;=90,"61–90 Days",
L24&lt;=180,"91–180 Days",
L24&lt;=365,"181–365 Days",
L24&gt;365,"365+ Days (High Risk)"
)</f>
        <v>365+ Days (High Risk)</v>
      </c>
      <c r="P24">
        <f t="shared" si="4"/>
        <v>0</v>
      </c>
      <c r="Q24" s="3">
        <f t="shared" ca="1" si="5"/>
        <v>5931.01</v>
      </c>
    </row>
    <row r="25" spans="1:17" x14ac:dyDescent="0.25">
      <c r="A25" t="s">
        <v>29</v>
      </c>
      <c r="B25" t="s">
        <v>907</v>
      </c>
      <c r="C25" s="1">
        <v>45173</v>
      </c>
      <c r="D25" s="1">
        <v>45218</v>
      </c>
      <c r="E25">
        <v>7959.18</v>
      </c>
      <c r="F25" t="s">
        <v>913</v>
      </c>
      <c r="G25" t="s">
        <v>917</v>
      </c>
      <c r="I25" t="s">
        <v>919</v>
      </c>
      <c r="J25" t="b">
        <f t="shared" si="0"/>
        <v>1</v>
      </c>
      <c r="K25" s="3">
        <f t="shared" ca="1" si="1"/>
        <v>878</v>
      </c>
      <c r="L25" s="3">
        <f t="shared" ca="1" si="2"/>
        <v>833</v>
      </c>
      <c r="M25" t="str">
        <f t="shared" ca="1" si="3"/>
        <v>Overdue</v>
      </c>
      <c r="N25">
        <f t="shared" si="6"/>
        <v>7959.18</v>
      </c>
      <c r="O25" t="str" cm="1">
        <f t="array" aca="1" ref="O25" ca="1">_xlfn.IFS(
L25&lt;=0,"Not Due",
L25&lt;=30,"0–30 Days",
L25&lt;=60,"31–60 Days",
L25&lt;=90,"61–90 Days",
L25&lt;=180,"91–180 Days",
L25&lt;=365,"181–365 Days",
L25&gt;365,"365+ Days (High Risk)"
)</f>
        <v>365+ Days (High Risk)</v>
      </c>
      <c r="P25">
        <f t="shared" si="4"/>
        <v>0</v>
      </c>
      <c r="Q25" s="3">
        <f t="shared" ca="1" si="5"/>
        <v>7959.18</v>
      </c>
    </row>
    <row r="26" spans="1:17" x14ac:dyDescent="0.25">
      <c r="A26" t="s">
        <v>30</v>
      </c>
      <c r="B26" t="s">
        <v>910</v>
      </c>
      <c r="C26" s="1">
        <v>45115</v>
      </c>
      <c r="D26" s="1">
        <v>45160</v>
      </c>
      <c r="E26">
        <v>5981.13</v>
      </c>
      <c r="F26" t="s">
        <v>914</v>
      </c>
      <c r="G26" t="s">
        <v>917</v>
      </c>
      <c r="I26" t="s">
        <v>919</v>
      </c>
      <c r="J26" t="b">
        <f t="shared" si="0"/>
        <v>1</v>
      </c>
      <c r="K26" s="3">
        <f t="shared" ca="1" si="1"/>
        <v>936</v>
      </c>
      <c r="L26" s="3">
        <f t="shared" ca="1" si="2"/>
        <v>891</v>
      </c>
      <c r="M26" t="str">
        <f t="shared" ca="1" si="3"/>
        <v>Overdue</v>
      </c>
      <c r="N26">
        <f t="shared" si="6"/>
        <v>5981.13</v>
      </c>
      <c r="O26" t="str" cm="1">
        <f t="array" aca="1" ref="O26" ca="1">_xlfn.IFS(
L26&lt;=0,"Not Due",
L26&lt;=30,"0–30 Days",
L26&lt;=60,"31–60 Days",
L26&lt;=90,"61–90 Days",
L26&lt;=180,"91–180 Days",
L26&lt;=365,"181–365 Days",
L26&gt;365,"365+ Days (High Risk)"
)</f>
        <v>365+ Days (High Risk)</v>
      </c>
      <c r="P26">
        <f t="shared" si="4"/>
        <v>0</v>
      </c>
      <c r="Q26" s="3">
        <f t="shared" ca="1" si="5"/>
        <v>5981.13</v>
      </c>
    </row>
    <row r="27" spans="1:17" x14ac:dyDescent="0.25">
      <c r="A27" t="s">
        <v>31</v>
      </c>
      <c r="B27" t="s">
        <v>908</v>
      </c>
      <c r="C27" s="1">
        <v>44987</v>
      </c>
      <c r="D27" s="1">
        <v>45032</v>
      </c>
      <c r="E27">
        <v>5545.78</v>
      </c>
      <c r="F27" t="s">
        <v>912</v>
      </c>
      <c r="G27" t="s">
        <v>918</v>
      </c>
      <c r="H27" s="1">
        <v>45032</v>
      </c>
      <c r="I27" t="s">
        <v>919</v>
      </c>
      <c r="J27" t="b">
        <f t="shared" si="0"/>
        <v>0</v>
      </c>
      <c r="K27" s="3">
        <f t="shared" ca="1" si="1"/>
        <v>45</v>
      </c>
      <c r="L27" s="3">
        <f t="shared" ca="1" si="2"/>
        <v>0</v>
      </c>
      <c r="M27" t="str">
        <f t="shared" ca="1" si="3"/>
        <v>On Time</v>
      </c>
      <c r="N27">
        <f t="shared" si="6"/>
        <v>0</v>
      </c>
      <c r="O27" t="str" cm="1">
        <f t="array" aca="1" ref="O27" ca="1">_xlfn.IFS(
L27&lt;=0,"Not Due",
L27&lt;=30,"0–30 Days",
L27&lt;=60,"31–60 Days",
L27&lt;=90,"61–90 Days",
L27&lt;=180,"91–180 Days",
L27&lt;=365,"181–365 Days",
L27&gt;365,"365+ Days (High Risk)"
)</f>
        <v>Not Due</v>
      </c>
      <c r="P27">
        <f t="shared" si="4"/>
        <v>5545.78</v>
      </c>
      <c r="Q27" s="3">
        <f t="shared" ca="1" si="5"/>
        <v>0</v>
      </c>
    </row>
    <row r="28" spans="1:17" x14ac:dyDescent="0.25">
      <c r="A28" t="s">
        <v>32</v>
      </c>
      <c r="B28" t="s">
        <v>909</v>
      </c>
      <c r="C28" s="1">
        <v>45006</v>
      </c>
      <c r="D28" s="1">
        <v>45051</v>
      </c>
      <c r="E28">
        <v>895.41</v>
      </c>
      <c r="F28" t="s">
        <v>911</v>
      </c>
      <c r="G28" t="s">
        <v>918</v>
      </c>
      <c r="H28" s="1">
        <v>45051</v>
      </c>
      <c r="I28" t="s">
        <v>919</v>
      </c>
      <c r="J28" t="b">
        <f t="shared" si="0"/>
        <v>0</v>
      </c>
      <c r="K28" s="3">
        <f t="shared" ca="1" si="1"/>
        <v>45</v>
      </c>
      <c r="L28" s="3">
        <f t="shared" ca="1" si="2"/>
        <v>0</v>
      </c>
      <c r="M28" t="str">
        <f t="shared" ca="1" si="3"/>
        <v>On Time</v>
      </c>
      <c r="N28">
        <f t="shared" si="6"/>
        <v>0</v>
      </c>
      <c r="O28" t="str" cm="1">
        <f t="array" aca="1" ref="O28" ca="1">_xlfn.IFS(
L28&lt;=0,"Not Due",
L28&lt;=30,"0–30 Days",
L28&lt;=60,"31–60 Days",
L28&lt;=90,"61–90 Days",
L28&lt;=180,"91–180 Days",
L28&lt;=365,"181–365 Days",
L28&gt;365,"365+ Days (High Risk)"
)</f>
        <v>Not Due</v>
      </c>
      <c r="P28">
        <f t="shared" si="4"/>
        <v>895.41</v>
      </c>
      <c r="Q28" s="3">
        <f t="shared" ca="1" si="5"/>
        <v>0</v>
      </c>
    </row>
    <row r="29" spans="1:17" x14ac:dyDescent="0.25">
      <c r="A29" t="s">
        <v>33</v>
      </c>
      <c r="B29" t="s">
        <v>908</v>
      </c>
      <c r="C29" s="1">
        <v>45217</v>
      </c>
      <c r="D29" s="1">
        <v>45262</v>
      </c>
      <c r="E29">
        <v>7961.36</v>
      </c>
      <c r="F29" t="s">
        <v>915</v>
      </c>
      <c r="G29" t="s">
        <v>918</v>
      </c>
      <c r="H29" s="1">
        <v>45262</v>
      </c>
      <c r="I29" t="s">
        <v>919</v>
      </c>
      <c r="J29" t="b">
        <f t="shared" si="0"/>
        <v>0</v>
      </c>
      <c r="K29" s="3">
        <f t="shared" ca="1" si="1"/>
        <v>45</v>
      </c>
      <c r="L29" s="3">
        <f t="shared" ca="1" si="2"/>
        <v>0</v>
      </c>
      <c r="M29" t="str">
        <f t="shared" ca="1" si="3"/>
        <v>On Time</v>
      </c>
      <c r="N29">
        <f t="shared" si="6"/>
        <v>0</v>
      </c>
      <c r="O29" t="str" cm="1">
        <f t="array" aca="1" ref="O29" ca="1">_xlfn.IFS(
L29&lt;=0,"Not Due",
L29&lt;=30,"0–30 Days",
L29&lt;=60,"31–60 Days",
L29&lt;=90,"61–90 Days",
L29&lt;=180,"91–180 Days",
L29&lt;=365,"181–365 Days",
L29&gt;365,"365+ Days (High Risk)"
)</f>
        <v>Not Due</v>
      </c>
      <c r="P29">
        <f t="shared" si="4"/>
        <v>7961.36</v>
      </c>
      <c r="Q29" s="3">
        <f t="shared" ca="1" si="5"/>
        <v>0</v>
      </c>
    </row>
    <row r="30" spans="1:17" x14ac:dyDescent="0.25">
      <c r="A30" t="s">
        <v>34</v>
      </c>
      <c r="B30" t="s">
        <v>906</v>
      </c>
      <c r="C30" s="1">
        <v>45087</v>
      </c>
      <c r="D30" s="1">
        <v>45132</v>
      </c>
      <c r="E30">
        <v>7898.89</v>
      </c>
      <c r="F30" t="s">
        <v>911</v>
      </c>
      <c r="G30" t="s">
        <v>916</v>
      </c>
      <c r="I30" t="s">
        <v>919</v>
      </c>
      <c r="J30" t="b">
        <f t="shared" si="0"/>
        <v>1</v>
      </c>
      <c r="K30" s="3">
        <f t="shared" ca="1" si="1"/>
        <v>964</v>
      </c>
      <c r="L30" s="3">
        <f t="shared" ca="1" si="2"/>
        <v>919</v>
      </c>
      <c r="M30" t="str">
        <f t="shared" ca="1" si="3"/>
        <v>Overdue</v>
      </c>
      <c r="N30">
        <f t="shared" si="6"/>
        <v>7898.89</v>
      </c>
      <c r="O30" t="str" cm="1">
        <f t="array" aca="1" ref="O30" ca="1">_xlfn.IFS(
L30&lt;=0,"Not Due",
L30&lt;=30,"0–30 Days",
L30&lt;=60,"31–60 Days",
L30&lt;=90,"61–90 Days",
L30&lt;=180,"91–180 Days",
L30&lt;=365,"181–365 Days",
L30&gt;365,"365+ Days (High Risk)"
)</f>
        <v>365+ Days (High Risk)</v>
      </c>
      <c r="P30">
        <f t="shared" si="4"/>
        <v>0</v>
      </c>
      <c r="Q30" s="3">
        <f t="shared" ca="1" si="5"/>
        <v>7898.89</v>
      </c>
    </row>
    <row r="31" spans="1:17" x14ac:dyDescent="0.25">
      <c r="A31" t="s">
        <v>35</v>
      </c>
      <c r="B31" t="s">
        <v>908</v>
      </c>
      <c r="C31" s="1">
        <v>45546</v>
      </c>
      <c r="D31" s="1">
        <v>45591</v>
      </c>
      <c r="E31">
        <v>3210.82</v>
      </c>
      <c r="F31" t="s">
        <v>913</v>
      </c>
      <c r="G31" t="s">
        <v>916</v>
      </c>
      <c r="I31" t="s">
        <v>919</v>
      </c>
      <c r="J31" t="b">
        <f t="shared" si="0"/>
        <v>1</v>
      </c>
      <c r="K31" s="3">
        <f t="shared" ca="1" si="1"/>
        <v>505</v>
      </c>
      <c r="L31" s="3">
        <f t="shared" ca="1" si="2"/>
        <v>460</v>
      </c>
      <c r="M31" t="str">
        <f t="shared" ca="1" si="3"/>
        <v>Overdue</v>
      </c>
      <c r="N31">
        <f t="shared" si="6"/>
        <v>3210.82</v>
      </c>
      <c r="O31" t="str" cm="1">
        <f t="array" aca="1" ref="O31" ca="1">_xlfn.IFS(
L31&lt;=0,"Not Due",
L31&lt;=30,"0–30 Days",
L31&lt;=60,"31–60 Days",
L31&lt;=90,"61–90 Days",
L31&lt;=180,"91–180 Days",
L31&lt;=365,"181–365 Days",
L31&gt;365,"365+ Days (High Risk)"
)</f>
        <v>365+ Days (High Risk)</v>
      </c>
      <c r="P31">
        <f t="shared" si="4"/>
        <v>0</v>
      </c>
      <c r="Q31" s="3">
        <f t="shared" ca="1" si="5"/>
        <v>3210.82</v>
      </c>
    </row>
    <row r="32" spans="1:17" x14ac:dyDescent="0.25">
      <c r="A32" t="s">
        <v>36</v>
      </c>
      <c r="B32" t="s">
        <v>909</v>
      </c>
      <c r="C32" s="1">
        <v>45427</v>
      </c>
      <c r="D32" s="1">
        <v>45472</v>
      </c>
      <c r="E32">
        <v>546.96</v>
      </c>
      <c r="F32" t="s">
        <v>914</v>
      </c>
      <c r="G32" t="s">
        <v>917</v>
      </c>
      <c r="I32" t="s">
        <v>919</v>
      </c>
      <c r="J32" t="b">
        <f t="shared" si="0"/>
        <v>1</v>
      </c>
      <c r="K32" s="3">
        <f t="shared" ca="1" si="1"/>
        <v>624</v>
      </c>
      <c r="L32" s="3">
        <f t="shared" ca="1" si="2"/>
        <v>579</v>
      </c>
      <c r="M32" t="str">
        <f t="shared" ca="1" si="3"/>
        <v>Overdue</v>
      </c>
      <c r="N32">
        <f t="shared" si="6"/>
        <v>546.96</v>
      </c>
      <c r="O32" t="str" cm="1">
        <f t="array" aca="1" ref="O32" ca="1">_xlfn.IFS(
L32&lt;=0,"Not Due",
L32&lt;=30,"0–30 Days",
L32&lt;=60,"31–60 Days",
L32&lt;=90,"61–90 Days",
L32&lt;=180,"91–180 Days",
L32&lt;=365,"181–365 Days",
L32&gt;365,"365+ Days (High Risk)"
)</f>
        <v>365+ Days (High Risk)</v>
      </c>
      <c r="P32">
        <f t="shared" si="4"/>
        <v>0</v>
      </c>
      <c r="Q32" s="3">
        <f t="shared" ca="1" si="5"/>
        <v>546.96</v>
      </c>
    </row>
    <row r="33" spans="1:17" x14ac:dyDescent="0.25">
      <c r="A33" t="s">
        <v>37</v>
      </c>
      <c r="B33" t="s">
        <v>907</v>
      </c>
      <c r="C33" s="1">
        <v>45278</v>
      </c>
      <c r="D33" s="1">
        <v>45323</v>
      </c>
      <c r="E33">
        <v>2602.5100000000002</v>
      </c>
      <c r="F33" t="s">
        <v>914</v>
      </c>
      <c r="G33" t="s">
        <v>918</v>
      </c>
      <c r="H33" s="1">
        <v>45323</v>
      </c>
      <c r="I33" t="s">
        <v>919</v>
      </c>
      <c r="J33" t="b">
        <f t="shared" si="0"/>
        <v>0</v>
      </c>
      <c r="K33" s="3">
        <f t="shared" ca="1" si="1"/>
        <v>45</v>
      </c>
      <c r="L33" s="3">
        <f t="shared" ca="1" si="2"/>
        <v>0</v>
      </c>
      <c r="M33" t="str">
        <f t="shared" ca="1" si="3"/>
        <v>On Time</v>
      </c>
      <c r="N33">
        <f t="shared" si="6"/>
        <v>0</v>
      </c>
      <c r="O33" t="str" cm="1">
        <f t="array" aca="1" ref="O33" ca="1">_xlfn.IFS(
L33&lt;=0,"Not Due",
L33&lt;=30,"0–30 Days",
L33&lt;=60,"31–60 Days",
L33&lt;=90,"61–90 Days",
L33&lt;=180,"91–180 Days",
L33&lt;=365,"181–365 Days",
L33&gt;365,"365+ Days (High Risk)"
)</f>
        <v>Not Due</v>
      </c>
      <c r="P33">
        <f t="shared" si="4"/>
        <v>2602.5100000000002</v>
      </c>
      <c r="Q33" s="3">
        <f t="shared" ca="1" si="5"/>
        <v>0</v>
      </c>
    </row>
    <row r="34" spans="1:17" x14ac:dyDescent="0.25">
      <c r="A34" t="s">
        <v>38</v>
      </c>
      <c r="B34" t="s">
        <v>908</v>
      </c>
      <c r="C34" s="1">
        <v>45699</v>
      </c>
      <c r="D34" s="1">
        <v>45744</v>
      </c>
      <c r="E34">
        <v>7548.8</v>
      </c>
      <c r="F34" t="s">
        <v>915</v>
      </c>
      <c r="G34" t="s">
        <v>916</v>
      </c>
      <c r="I34" t="s">
        <v>919</v>
      </c>
      <c r="J34" t="b">
        <f t="shared" si="0"/>
        <v>1</v>
      </c>
      <c r="K34" s="3">
        <f t="shared" ca="1" si="1"/>
        <v>352</v>
      </c>
      <c r="L34" s="3">
        <f t="shared" ca="1" si="2"/>
        <v>307</v>
      </c>
      <c r="M34" t="str">
        <f t="shared" ca="1" si="3"/>
        <v>Overdue</v>
      </c>
      <c r="N34">
        <f t="shared" si="6"/>
        <v>7548.8</v>
      </c>
      <c r="O34" t="str" cm="1">
        <f t="array" aca="1" ref="O34" ca="1">_xlfn.IFS(
L34&lt;=0,"Not Due",
L34&lt;=30,"0–30 Days",
L34&lt;=60,"31–60 Days",
L34&lt;=90,"61–90 Days",
L34&lt;=180,"91–180 Days",
L34&lt;=365,"181–365 Days",
L34&gt;365,"365+ Days (High Risk)"
)</f>
        <v>181–365 Days</v>
      </c>
      <c r="P34">
        <f t="shared" si="4"/>
        <v>0</v>
      </c>
      <c r="Q34" s="3">
        <f t="shared" ca="1" si="5"/>
        <v>7548.8</v>
      </c>
    </row>
    <row r="35" spans="1:17" x14ac:dyDescent="0.25">
      <c r="A35" t="s">
        <v>39</v>
      </c>
      <c r="B35" t="s">
        <v>906</v>
      </c>
      <c r="C35" s="1">
        <v>45253</v>
      </c>
      <c r="D35" s="1">
        <v>45298</v>
      </c>
      <c r="E35">
        <v>634.25</v>
      </c>
      <c r="F35" t="s">
        <v>911</v>
      </c>
      <c r="G35" t="s">
        <v>916</v>
      </c>
      <c r="I35" t="s">
        <v>919</v>
      </c>
      <c r="J35" t="b">
        <f t="shared" si="0"/>
        <v>1</v>
      </c>
      <c r="K35" s="3">
        <f t="shared" ca="1" si="1"/>
        <v>798</v>
      </c>
      <c r="L35" s="3">
        <f t="shared" ca="1" si="2"/>
        <v>753</v>
      </c>
      <c r="M35" t="str">
        <f t="shared" ca="1" si="3"/>
        <v>Overdue</v>
      </c>
      <c r="N35">
        <f t="shared" si="6"/>
        <v>634.25</v>
      </c>
      <c r="O35" t="str" cm="1">
        <f t="array" aca="1" ref="O35" ca="1">_xlfn.IFS(
L35&lt;=0,"Not Due",
L35&lt;=30,"0–30 Days",
L35&lt;=60,"31–60 Days",
L35&lt;=90,"61–90 Days",
L35&lt;=180,"91–180 Days",
L35&lt;=365,"181–365 Days",
L35&gt;365,"365+ Days (High Risk)"
)</f>
        <v>365+ Days (High Risk)</v>
      </c>
      <c r="P35">
        <f t="shared" si="4"/>
        <v>0</v>
      </c>
      <c r="Q35" s="3">
        <f t="shared" ca="1" si="5"/>
        <v>634.25</v>
      </c>
    </row>
    <row r="36" spans="1:17" x14ac:dyDescent="0.25">
      <c r="A36" t="s">
        <v>40</v>
      </c>
      <c r="B36" t="s">
        <v>909</v>
      </c>
      <c r="C36" s="1">
        <v>45740</v>
      </c>
      <c r="D36" s="1">
        <v>45785</v>
      </c>
      <c r="E36">
        <v>6230.43</v>
      </c>
      <c r="F36" t="s">
        <v>913</v>
      </c>
      <c r="G36" t="s">
        <v>918</v>
      </c>
      <c r="H36" s="1">
        <v>45785</v>
      </c>
      <c r="I36" t="s">
        <v>919</v>
      </c>
      <c r="J36" t="b">
        <f t="shared" si="0"/>
        <v>0</v>
      </c>
      <c r="K36" s="3">
        <f t="shared" ca="1" si="1"/>
        <v>45</v>
      </c>
      <c r="L36" s="3">
        <f t="shared" ca="1" si="2"/>
        <v>0</v>
      </c>
      <c r="M36" t="str">
        <f t="shared" ca="1" si="3"/>
        <v>On Time</v>
      </c>
      <c r="N36">
        <f t="shared" si="6"/>
        <v>0</v>
      </c>
      <c r="O36" t="str" cm="1">
        <f t="array" aca="1" ref="O36" ca="1">_xlfn.IFS(
L36&lt;=0,"Not Due",
L36&lt;=30,"0–30 Days",
L36&lt;=60,"31–60 Days",
L36&lt;=90,"61–90 Days",
L36&lt;=180,"91–180 Days",
L36&lt;=365,"181–365 Days",
L36&gt;365,"365+ Days (High Risk)"
)</f>
        <v>Not Due</v>
      </c>
      <c r="P36">
        <f t="shared" si="4"/>
        <v>6230.43</v>
      </c>
      <c r="Q36" s="3">
        <f t="shared" ca="1" si="5"/>
        <v>0</v>
      </c>
    </row>
    <row r="37" spans="1:17" x14ac:dyDescent="0.25">
      <c r="A37" t="s">
        <v>41</v>
      </c>
      <c r="B37" t="s">
        <v>909</v>
      </c>
      <c r="C37" s="1">
        <v>45231</v>
      </c>
      <c r="D37" s="1">
        <v>45276</v>
      </c>
      <c r="E37">
        <v>2323.42</v>
      </c>
      <c r="F37" t="s">
        <v>912</v>
      </c>
      <c r="G37" t="s">
        <v>918</v>
      </c>
      <c r="H37" s="1">
        <v>45276</v>
      </c>
      <c r="I37" t="s">
        <v>919</v>
      </c>
      <c r="J37" t="b">
        <f t="shared" si="0"/>
        <v>0</v>
      </c>
      <c r="K37" s="3">
        <f t="shared" ca="1" si="1"/>
        <v>45</v>
      </c>
      <c r="L37" s="3">
        <f t="shared" ca="1" si="2"/>
        <v>0</v>
      </c>
      <c r="M37" t="str">
        <f t="shared" ca="1" si="3"/>
        <v>On Time</v>
      </c>
      <c r="N37">
        <f t="shared" si="6"/>
        <v>0</v>
      </c>
      <c r="O37" t="str" cm="1">
        <f t="array" aca="1" ref="O37" ca="1">_xlfn.IFS(
L37&lt;=0,"Not Due",
L37&lt;=30,"0–30 Days",
L37&lt;=60,"31–60 Days",
L37&lt;=90,"61–90 Days",
L37&lt;=180,"91–180 Days",
L37&lt;=365,"181–365 Days",
L37&gt;365,"365+ Days (High Risk)"
)</f>
        <v>Not Due</v>
      </c>
      <c r="P37">
        <f t="shared" si="4"/>
        <v>2323.42</v>
      </c>
      <c r="Q37" s="3">
        <f t="shared" ca="1" si="5"/>
        <v>0</v>
      </c>
    </row>
    <row r="38" spans="1:17" x14ac:dyDescent="0.25">
      <c r="A38" t="s">
        <v>42</v>
      </c>
      <c r="B38" t="s">
        <v>908</v>
      </c>
      <c r="C38" s="1">
        <v>45493</v>
      </c>
      <c r="D38" s="1">
        <v>45538</v>
      </c>
      <c r="E38">
        <v>2167.31</v>
      </c>
      <c r="F38" t="s">
        <v>912</v>
      </c>
      <c r="G38" t="s">
        <v>918</v>
      </c>
      <c r="H38" s="1">
        <v>45538</v>
      </c>
      <c r="I38" t="s">
        <v>919</v>
      </c>
      <c r="J38" t="b">
        <f t="shared" si="0"/>
        <v>0</v>
      </c>
      <c r="K38" s="3">
        <f t="shared" ca="1" si="1"/>
        <v>45</v>
      </c>
      <c r="L38" s="3">
        <f t="shared" ca="1" si="2"/>
        <v>0</v>
      </c>
      <c r="M38" t="str">
        <f t="shared" ca="1" si="3"/>
        <v>On Time</v>
      </c>
      <c r="N38">
        <f t="shared" si="6"/>
        <v>0</v>
      </c>
      <c r="O38" t="str" cm="1">
        <f t="array" aca="1" ref="O38" ca="1">_xlfn.IFS(
L38&lt;=0,"Not Due",
L38&lt;=30,"0–30 Days",
L38&lt;=60,"31–60 Days",
L38&lt;=90,"61–90 Days",
L38&lt;=180,"91–180 Days",
L38&lt;=365,"181–365 Days",
L38&gt;365,"365+ Days (High Risk)"
)</f>
        <v>Not Due</v>
      </c>
      <c r="P38">
        <f t="shared" si="4"/>
        <v>2167.31</v>
      </c>
      <c r="Q38" s="3">
        <f t="shared" ca="1" si="5"/>
        <v>0</v>
      </c>
    </row>
    <row r="39" spans="1:17" x14ac:dyDescent="0.25">
      <c r="A39" t="s">
        <v>43</v>
      </c>
      <c r="B39" t="s">
        <v>910</v>
      </c>
      <c r="C39" s="1">
        <v>45642</v>
      </c>
      <c r="D39" s="1">
        <v>45687</v>
      </c>
      <c r="E39">
        <v>1711.81</v>
      </c>
      <c r="F39" t="s">
        <v>914</v>
      </c>
      <c r="G39" t="s">
        <v>917</v>
      </c>
      <c r="I39" t="s">
        <v>919</v>
      </c>
      <c r="J39" t="b">
        <f t="shared" si="0"/>
        <v>1</v>
      </c>
      <c r="K39" s="3">
        <f t="shared" ca="1" si="1"/>
        <v>409</v>
      </c>
      <c r="L39" s="3">
        <f t="shared" ca="1" si="2"/>
        <v>364</v>
      </c>
      <c r="M39" t="str">
        <f t="shared" ca="1" si="3"/>
        <v>Overdue</v>
      </c>
      <c r="N39">
        <f t="shared" si="6"/>
        <v>1711.81</v>
      </c>
      <c r="O39" t="str" cm="1">
        <f t="array" aca="1" ref="O39" ca="1">_xlfn.IFS(
L39&lt;=0,"Not Due",
L39&lt;=30,"0–30 Days",
L39&lt;=60,"31–60 Days",
L39&lt;=90,"61–90 Days",
L39&lt;=180,"91–180 Days",
L39&lt;=365,"181–365 Days",
L39&gt;365,"365+ Days (High Risk)"
)</f>
        <v>181–365 Days</v>
      </c>
      <c r="P39">
        <f t="shared" si="4"/>
        <v>0</v>
      </c>
      <c r="Q39" s="3">
        <f t="shared" ca="1" si="5"/>
        <v>1711.81</v>
      </c>
    </row>
    <row r="40" spans="1:17" x14ac:dyDescent="0.25">
      <c r="A40" t="s">
        <v>44</v>
      </c>
      <c r="B40" t="s">
        <v>907</v>
      </c>
      <c r="C40" s="1">
        <v>45230</v>
      </c>
      <c r="D40" s="1">
        <v>45275</v>
      </c>
      <c r="E40">
        <v>6942.78</v>
      </c>
      <c r="F40" t="s">
        <v>911</v>
      </c>
      <c r="G40" t="s">
        <v>916</v>
      </c>
      <c r="I40" t="s">
        <v>919</v>
      </c>
      <c r="J40" t="b">
        <f t="shared" si="0"/>
        <v>1</v>
      </c>
      <c r="K40" s="3">
        <f t="shared" ca="1" si="1"/>
        <v>821</v>
      </c>
      <c r="L40" s="3">
        <f t="shared" ca="1" si="2"/>
        <v>776</v>
      </c>
      <c r="M40" t="str">
        <f t="shared" ca="1" si="3"/>
        <v>Overdue</v>
      </c>
      <c r="N40">
        <f t="shared" si="6"/>
        <v>6942.78</v>
      </c>
      <c r="O40" t="str" cm="1">
        <f t="array" aca="1" ref="O40" ca="1">_xlfn.IFS(
L40&lt;=0,"Not Due",
L40&lt;=30,"0–30 Days",
L40&lt;=60,"31–60 Days",
L40&lt;=90,"61–90 Days",
L40&lt;=180,"91–180 Days",
L40&lt;=365,"181–365 Days",
L40&gt;365,"365+ Days (High Risk)"
)</f>
        <v>365+ Days (High Risk)</v>
      </c>
      <c r="P40">
        <f t="shared" si="4"/>
        <v>0</v>
      </c>
      <c r="Q40" s="3">
        <f t="shared" ca="1" si="5"/>
        <v>6942.78</v>
      </c>
    </row>
    <row r="41" spans="1:17" x14ac:dyDescent="0.25">
      <c r="A41" t="s">
        <v>45</v>
      </c>
      <c r="B41" t="s">
        <v>908</v>
      </c>
      <c r="C41" s="1">
        <v>45143</v>
      </c>
      <c r="D41" s="1">
        <v>45188</v>
      </c>
      <c r="E41">
        <v>7098.74</v>
      </c>
      <c r="F41" t="s">
        <v>915</v>
      </c>
      <c r="G41" t="s">
        <v>917</v>
      </c>
      <c r="I41" t="s">
        <v>919</v>
      </c>
      <c r="J41" t="b">
        <f t="shared" si="0"/>
        <v>1</v>
      </c>
      <c r="K41" s="3">
        <f t="shared" ca="1" si="1"/>
        <v>908</v>
      </c>
      <c r="L41" s="3">
        <f t="shared" ca="1" si="2"/>
        <v>863</v>
      </c>
      <c r="M41" t="str">
        <f t="shared" ca="1" si="3"/>
        <v>Overdue</v>
      </c>
      <c r="N41">
        <f t="shared" si="6"/>
        <v>7098.74</v>
      </c>
      <c r="O41" t="str" cm="1">
        <f t="array" aca="1" ref="O41" ca="1">_xlfn.IFS(
L41&lt;=0,"Not Due",
L41&lt;=30,"0–30 Days",
L41&lt;=60,"31–60 Days",
L41&lt;=90,"61–90 Days",
L41&lt;=180,"91–180 Days",
L41&lt;=365,"181–365 Days",
L41&gt;365,"365+ Days (High Risk)"
)</f>
        <v>365+ Days (High Risk)</v>
      </c>
      <c r="P41">
        <f t="shared" si="4"/>
        <v>0</v>
      </c>
      <c r="Q41" s="3">
        <f t="shared" ca="1" si="5"/>
        <v>7098.74</v>
      </c>
    </row>
    <row r="42" spans="1:17" x14ac:dyDescent="0.25">
      <c r="A42" t="s">
        <v>46</v>
      </c>
      <c r="B42" t="s">
        <v>908</v>
      </c>
      <c r="C42" s="1">
        <v>45110</v>
      </c>
      <c r="D42" s="1">
        <v>45155</v>
      </c>
      <c r="E42">
        <v>4881.63</v>
      </c>
      <c r="F42" t="s">
        <v>914</v>
      </c>
      <c r="G42" t="s">
        <v>918</v>
      </c>
      <c r="H42" s="1">
        <v>45155</v>
      </c>
      <c r="I42" t="s">
        <v>919</v>
      </c>
      <c r="J42" t="b">
        <f t="shared" si="0"/>
        <v>0</v>
      </c>
      <c r="K42" s="3">
        <f t="shared" ca="1" si="1"/>
        <v>45</v>
      </c>
      <c r="L42" s="3">
        <f t="shared" ca="1" si="2"/>
        <v>0</v>
      </c>
      <c r="M42" t="str">
        <f t="shared" ca="1" si="3"/>
        <v>On Time</v>
      </c>
      <c r="N42">
        <f t="shared" si="6"/>
        <v>0</v>
      </c>
      <c r="O42" t="str" cm="1">
        <f t="array" aca="1" ref="O42" ca="1">_xlfn.IFS(
L42&lt;=0,"Not Due",
L42&lt;=30,"0–30 Days",
L42&lt;=60,"31–60 Days",
L42&lt;=90,"61–90 Days",
L42&lt;=180,"91–180 Days",
L42&lt;=365,"181–365 Days",
L42&gt;365,"365+ Days (High Risk)"
)</f>
        <v>Not Due</v>
      </c>
      <c r="P42">
        <f t="shared" si="4"/>
        <v>4881.63</v>
      </c>
      <c r="Q42" s="3">
        <f t="shared" ca="1" si="5"/>
        <v>0</v>
      </c>
    </row>
    <row r="43" spans="1:17" x14ac:dyDescent="0.25">
      <c r="A43" t="s">
        <v>47</v>
      </c>
      <c r="B43" t="s">
        <v>909</v>
      </c>
      <c r="C43" s="1">
        <v>45212</v>
      </c>
      <c r="D43" s="1">
        <v>45257</v>
      </c>
      <c r="E43">
        <v>6438.74</v>
      </c>
      <c r="F43" t="s">
        <v>912</v>
      </c>
      <c r="G43" t="s">
        <v>916</v>
      </c>
      <c r="I43" t="s">
        <v>919</v>
      </c>
      <c r="J43" t="b">
        <f t="shared" si="0"/>
        <v>1</v>
      </c>
      <c r="K43" s="3">
        <f t="shared" ca="1" si="1"/>
        <v>839</v>
      </c>
      <c r="L43" s="3">
        <f t="shared" ca="1" si="2"/>
        <v>794</v>
      </c>
      <c r="M43" t="str">
        <f t="shared" ca="1" si="3"/>
        <v>Overdue</v>
      </c>
      <c r="N43">
        <f t="shared" si="6"/>
        <v>6438.74</v>
      </c>
      <c r="O43" t="str" cm="1">
        <f t="array" aca="1" ref="O43" ca="1">_xlfn.IFS(
L43&lt;=0,"Not Due",
L43&lt;=30,"0–30 Days",
L43&lt;=60,"31–60 Days",
L43&lt;=90,"61–90 Days",
L43&lt;=180,"91–180 Days",
L43&lt;=365,"181–365 Days",
L43&gt;365,"365+ Days (High Risk)"
)</f>
        <v>365+ Days (High Risk)</v>
      </c>
      <c r="P43">
        <f t="shared" si="4"/>
        <v>0</v>
      </c>
      <c r="Q43" s="3">
        <f t="shared" ca="1" si="5"/>
        <v>6438.74</v>
      </c>
    </row>
    <row r="44" spans="1:17" x14ac:dyDescent="0.25">
      <c r="A44" t="s">
        <v>48</v>
      </c>
      <c r="B44" t="s">
        <v>907</v>
      </c>
      <c r="C44" s="1">
        <v>45227</v>
      </c>
      <c r="D44" s="1">
        <v>45272</v>
      </c>
      <c r="E44">
        <v>5344.09</v>
      </c>
      <c r="F44" t="s">
        <v>915</v>
      </c>
      <c r="G44" t="s">
        <v>918</v>
      </c>
      <c r="H44" s="1">
        <v>45272</v>
      </c>
      <c r="I44" t="s">
        <v>919</v>
      </c>
      <c r="J44" t="b">
        <f t="shared" si="0"/>
        <v>0</v>
      </c>
      <c r="K44" s="3">
        <f t="shared" ca="1" si="1"/>
        <v>45</v>
      </c>
      <c r="L44" s="3">
        <f t="shared" ca="1" si="2"/>
        <v>0</v>
      </c>
      <c r="M44" t="str">
        <f t="shared" ca="1" si="3"/>
        <v>On Time</v>
      </c>
      <c r="N44">
        <f t="shared" si="6"/>
        <v>0</v>
      </c>
      <c r="O44" t="str" cm="1">
        <f t="array" aca="1" ref="O44" ca="1">_xlfn.IFS(
L44&lt;=0,"Not Due",
L44&lt;=30,"0–30 Days",
L44&lt;=60,"31–60 Days",
L44&lt;=90,"61–90 Days",
L44&lt;=180,"91–180 Days",
L44&lt;=365,"181–365 Days",
L44&gt;365,"365+ Days (High Risk)"
)</f>
        <v>Not Due</v>
      </c>
      <c r="P44">
        <f t="shared" si="4"/>
        <v>5344.09</v>
      </c>
      <c r="Q44" s="3">
        <f t="shared" ca="1" si="5"/>
        <v>0</v>
      </c>
    </row>
    <row r="45" spans="1:17" x14ac:dyDescent="0.25">
      <c r="A45" t="s">
        <v>49</v>
      </c>
      <c r="B45" t="s">
        <v>910</v>
      </c>
      <c r="C45" s="1">
        <v>45109</v>
      </c>
      <c r="D45" s="1">
        <v>45154</v>
      </c>
      <c r="E45">
        <v>5121.3</v>
      </c>
      <c r="F45" t="s">
        <v>912</v>
      </c>
      <c r="G45" t="s">
        <v>917</v>
      </c>
      <c r="I45" t="s">
        <v>919</v>
      </c>
      <c r="J45" t="b">
        <f t="shared" si="0"/>
        <v>1</v>
      </c>
      <c r="K45" s="3">
        <f t="shared" ca="1" si="1"/>
        <v>942</v>
      </c>
      <c r="L45" s="3">
        <f t="shared" ca="1" si="2"/>
        <v>897</v>
      </c>
      <c r="M45" t="str">
        <f t="shared" ca="1" si="3"/>
        <v>Overdue</v>
      </c>
      <c r="N45">
        <f t="shared" si="6"/>
        <v>5121.3</v>
      </c>
      <c r="O45" t="str" cm="1">
        <f t="array" aca="1" ref="O45" ca="1">_xlfn.IFS(
L45&lt;=0,"Not Due",
L45&lt;=30,"0–30 Days",
L45&lt;=60,"31–60 Days",
L45&lt;=90,"61–90 Days",
L45&lt;=180,"91–180 Days",
L45&lt;=365,"181–365 Days",
L45&gt;365,"365+ Days (High Risk)"
)</f>
        <v>365+ Days (High Risk)</v>
      </c>
      <c r="P45">
        <f t="shared" si="4"/>
        <v>0</v>
      </c>
      <c r="Q45" s="3">
        <f t="shared" ca="1" si="5"/>
        <v>5121.3</v>
      </c>
    </row>
    <row r="46" spans="1:17" x14ac:dyDescent="0.25">
      <c r="A46" t="s">
        <v>50</v>
      </c>
      <c r="B46" t="s">
        <v>907</v>
      </c>
      <c r="C46" s="1">
        <v>45754</v>
      </c>
      <c r="D46" s="1">
        <v>45799</v>
      </c>
      <c r="E46">
        <v>1325.15</v>
      </c>
      <c r="F46" t="s">
        <v>914</v>
      </c>
      <c r="G46" t="s">
        <v>917</v>
      </c>
      <c r="I46" t="s">
        <v>919</v>
      </c>
      <c r="J46" t="b">
        <f t="shared" si="0"/>
        <v>1</v>
      </c>
      <c r="K46" s="3">
        <f t="shared" ca="1" si="1"/>
        <v>297</v>
      </c>
      <c r="L46" s="3">
        <f t="shared" ca="1" si="2"/>
        <v>252</v>
      </c>
      <c r="M46" t="str">
        <f t="shared" ca="1" si="3"/>
        <v>Overdue</v>
      </c>
      <c r="N46">
        <f t="shared" si="6"/>
        <v>1325.15</v>
      </c>
      <c r="O46" t="str" cm="1">
        <f t="array" aca="1" ref="O46" ca="1">_xlfn.IFS(
L46&lt;=0,"Not Due",
L46&lt;=30,"0–30 Days",
L46&lt;=60,"31–60 Days",
L46&lt;=90,"61–90 Days",
L46&lt;=180,"91–180 Days",
L46&lt;=365,"181–365 Days",
L46&gt;365,"365+ Days (High Risk)"
)</f>
        <v>181–365 Days</v>
      </c>
      <c r="P46">
        <f t="shared" si="4"/>
        <v>0</v>
      </c>
      <c r="Q46" s="3">
        <f t="shared" ca="1" si="5"/>
        <v>1325.15</v>
      </c>
    </row>
    <row r="47" spans="1:17" x14ac:dyDescent="0.25">
      <c r="A47" t="s">
        <v>51</v>
      </c>
      <c r="B47" t="s">
        <v>910</v>
      </c>
      <c r="C47" s="1">
        <v>45604</v>
      </c>
      <c r="D47" s="1">
        <v>45649</v>
      </c>
      <c r="E47">
        <v>2200.8200000000002</v>
      </c>
      <c r="F47" t="s">
        <v>911</v>
      </c>
      <c r="G47" t="s">
        <v>917</v>
      </c>
      <c r="I47" t="s">
        <v>919</v>
      </c>
      <c r="J47" t="b">
        <f t="shared" si="0"/>
        <v>1</v>
      </c>
      <c r="K47" s="3">
        <f t="shared" ca="1" si="1"/>
        <v>447</v>
      </c>
      <c r="L47" s="3">
        <f t="shared" ca="1" si="2"/>
        <v>402</v>
      </c>
      <c r="M47" t="str">
        <f t="shared" ca="1" si="3"/>
        <v>Overdue</v>
      </c>
      <c r="N47">
        <f t="shared" si="6"/>
        <v>2200.8200000000002</v>
      </c>
      <c r="O47" t="str" cm="1">
        <f t="array" aca="1" ref="O47" ca="1">_xlfn.IFS(
L47&lt;=0,"Not Due",
L47&lt;=30,"0–30 Days",
L47&lt;=60,"31–60 Days",
L47&lt;=90,"61–90 Days",
L47&lt;=180,"91–180 Days",
L47&lt;=365,"181–365 Days",
L47&gt;365,"365+ Days (High Risk)"
)</f>
        <v>365+ Days (High Risk)</v>
      </c>
      <c r="P47">
        <f t="shared" si="4"/>
        <v>0</v>
      </c>
      <c r="Q47" s="3">
        <f t="shared" ca="1" si="5"/>
        <v>2200.8200000000002</v>
      </c>
    </row>
    <row r="48" spans="1:17" x14ac:dyDescent="0.25">
      <c r="A48" t="s">
        <v>52</v>
      </c>
      <c r="B48" t="s">
        <v>910</v>
      </c>
      <c r="C48" s="1">
        <v>45751</v>
      </c>
      <c r="D48" s="1">
        <v>45796</v>
      </c>
      <c r="E48">
        <v>1015.66</v>
      </c>
      <c r="F48" t="s">
        <v>912</v>
      </c>
      <c r="G48" t="s">
        <v>918</v>
      </c>
      <c r="H48" s="1">
        <v>45796</v>
      </c>
      <c r="I48" t="s">
        <v>919</v>
      </c>
      <c r="J48" t="b">
        <f t="shared" si="0"/>
        <v>0</v>
      </c>
      <c r="K48" s="3">
        <f t="shared" ca="1" si="1"/>
        <v>45</v>
      </c>
      <c r="L48" s="3">
        <f t="shared" ca="1" si="2"/>
        <v>0</v>
      </c>
      <c r="M48" t="str">
        <f t="shared" ca="1" si="3"/>
        <v>On Time</v>
      </c>
      <c r="N48">
        <f t="shared" si="6"/>
        <v>0</v>
      </c>
      <c r="O48" t="str" cm="1">
        <f t="array" aca="1" ref="O48" ca="1">_xlfn.IFS(
L48&lt;=0,"Not Due",
L48&lt;=30,"0–30 Days",
L48&lt;=60,"31–60 Days",
L48&lt;=90,"61–90 Days",
L48&lt;=180,"91–180 Days",
L48&lt;=365,"181–365 Days",
L48&gt;365,"365+ Days (High Risk)"
)</f>
        <v>Not Due</v>
      </c>
      <c r="P48">
        <f t="shared" si="4"/>
        <v>1015.66</v>
      </c>
      <c r="Q48" s="3">
        <f t="shared" ca="1" si="5"/>
        <v>0</v>
      </c>
    </row>
    <row r="49" spans="1:17" x14ac:dyDescent="0.25">
      <c r="A49" t="s">
        <v>53</v>
      </c>
      <c r="B49" t="s">
        <v>907</v>
      </c>
      <c r="C49" s="1">
        <v>45108</v>
      </c>
      <c r="D49" s="1">
        <v>45153</v>
      </c>
      <c r="E49">
        <v>3180.12</v>
      </c>
      <c r="F49" t="s">
        <v>915</v>
      </c>
      <c r="G49" t="s">
        <v>917</v>
      </c>
      <c r="I49" t="s">
        <v>919</v>
      </c>
      <c r="J49" t="b">
        <f t="shared" si="0"/>
        <v>1</v>
      </c>
      <c r="K49" s="3">
        <f t="shared" ca="1" si="1"/>
        <v>943</v>
      </c>
      <c r="L49" s="3">
        <f t="shared" ca="1" si="2"/>
        <v>898</v>
      </c>
      <c r="M49" t="str">
        <f t="shared" ca="1" si="3"/>
        <v>Overdue</v>
      </c>
      <c r="N49">
        <f t="shared" si="6"/>
        <v>3180.12</v>
      </c>
      <c r="O49" t="str" cm="1">
        <f t="array" aca="1" ref="O49" ca="1">_xlfn.IFS(
L49&lt;=0,"Not Due",
L49&lt;=30,"0–30 Days",
L49&lt;=60,"31–60 Days",
L49&lt;=90,"61–90 Days",
L49&lt;=180,"91–180 Days",
L49&lt;=365,"181–365 Days",
L49&gt;365,"365+ Days (High Risk)"
)</f>
        <v>365+ Days (High Risk)</v>
      </c>
      <c r="P49">
        <f t="shared" si="4"/>
        <v>0</v>
      </c>
      <c r="Q49" s="3">
        <f t="shared" ca="1" si="5"/>
        <v>3180.12</v>
      </c>
    </row>
    <row r="50" spans="1:17" x14ac:dyDescent="0.25">
      <c r="A50" t="s">
        <v>54</v>
      </c>
      <c r="B50" t="s">
        <v>908</v>
      </c>
      <c r="C50" s="1">
        <v>45729</v>
      </c>
      <c r="D50" s="1">
        <v>45774</v>
      </c>
      <c r="E50">
        <v>699.9</v>
      </c>
      <c r="F50" t="s">
        <v>911</v>
      </c>
      <c r="G50" t="s">
        <v>917</v>
      </c>
      <c r="I50" t="s">
        <v>919</v>
      </c>
      <c r="J50" t="b">
        <f t="shared" si="0"/>
        <v>1</v>
      </c>
      <c r="K50" s="3">
        <f t="shared" ca="1" si="1"/>
        <v>322</v>
      </c>
      <c r="L50" s="3">
        <f t="shared" ca="1" si="2"/>
        <v>277</v>
      </c>
      <c r="M50" t="str">
        <f t="shared" ca="1" si="3"/>
        <v>Overdue</v>
      </c>
      <c r="N50">
        <f t="shared" si="6"/>
        <v>699.9</v>
      </c>
      <c r="O50" t="str" cm="1">
        <f t="array" aca="1" ref="O50" ca="1">_xlfn.IFS(
L50&lt;=0,"Not Due",
L50&lt;=30,"0–30 Days",
L50&lt;=60,"31–60 Days",
L50&lt;=90,"61–90 Days",
L50&lt;=180,"91–180 Days",
L50&lt;=365,"181–365 Days",
L50&gt;365,"365+ Days (High Risk)"
)</f>
        <v>181–365 Days</v>
      </c>
      <c r="P50">
        <f t="shared" si="4"/>
        <v>0</v>
      </c>
      <c r="Q50" s="3">
        <f t="shared" ca="1" si="5"/>
        <v>699.9</v>
      </c>
    </row>
    <row r="51" spans="1:17" x14ac:dyDescent="0.25">
      <c r="A51" t="s">
        <v>55</v>
      </c>
      <c r="B51" t="s">
        <v>909</v>
      </c>
      <c r="C51" s="1">
        <v>45437</v>
      </c>
      <c r="D51" s="1">
        <v>45482</v>
      </c>
      <c r="E51">
        <v>498.51</v>
      </c>
      <c r="F51" t="s">
        <v>915</v>
      </c>
      <c r="G51" t="s">
        <v>917</v>
      </c>
      <c r="I51" t="s">
        <v>919</v>
      </c>
      <c r="J51" t="b">
        <f t="shared" si="0"/>
        <v>1</v>
      </c>
      <c r="K51" s="3">
        <f t="shared" ca="1" si="1"/>
        <v>614</v>
      </c>
      <c r="L51" s="3">
        <f t="shared" ca="1" si="2"/>
        <v>569</v>
      </c>
      <c r="M51" t="str">
        <f t="shared" ca="1" si="3"/>
        <v>Overdue</v>
      </c>
      <c r="N51">
        <f t="shared" si="6"/>
        <v>498.51</v>
      </c>
      <c r="O51" t="str" cm="1">
        <f t="array" aca="1" ref="O51" ca="1">_xlfn.IFS(
L51&lt;=0,"Not Due",
L51&lt;=30,"0–30 Days",
L51&lt;=60,"31–60 Days",
L51&lt;=90,"61–90 Days",
L51&lt;=180,"91–180 Days",
L51&lt;=365,"181–365 Days",
L51&gt;365,"365+ Days (High Risk)"
)</f>
        <v>365+ Days (High Risk)</v>
      </c>
      <c r="P51">
        <f t="shared" si="4"/>
        <v>0</v>
      </c>
      <c r="Q51" s="3">
        <f t="shared" ca="1" si="5"/>
        <v>498.51</v>
      </c>
    </row>
    <row r="52" spans="1:17" x14ac:dyDescent="0.25">
      <c r="A52" t="s">
        <v>56</v>
      </c>
      <c r="B52" t="s">
        <v>908</v>
      </c>
      <c r="C52" s="1">
        <v>45007</v>
      </c>
      <c r="D52" s="1">
        <v>45052</v>
      </c>
      <c r="E52">
        <v>1578.97</v>
      </c>
      <c r="F52" t="s">
        <v>912</v>
      </c>
      <c r="G52" t="s">
        <v>916</v>
      </c>
      <c r="I52" t="s">
        <v>919</v>
      </c>
      <c r="J52" t="b">
        <f t="shared" si="0"/>
        <v>1</v>
      </c>
      <c r="K52" s="3">
        <f t="shared" ca="1" si="1"/>
        <v>1044</v>
      </c>
      <c r="L52" s="3">
        <f t="shared" ca="1" si="2"/>
        <v>999</v>
      </c>
      <c r="M52" t="str">
        <f t="shared" ca="1" si="3"/>
        <v>Overdue</v>
      </c>
      <c r="N52">
        <f t="shared" si="6"/>
        <v>1578.97</v>
      </c>
      <c r="O52" t="str" cm="1">
        <f t="array" aca="1" ref="O52" ca="1">_xlfn.IFS(
L52&lt;=0,"Not Due",
L52&lt;=30,"0–30 Days",
L52&lt;=60,"31–60 Days",
L52&lt;=90,"61–90 Days",
L52&lt;=180,"91–180 Days",
L52&lt;=365,"181–365 Days",
L52&gt;365,"365+ Days (High Risk)"
)</f>
        <v>365+ Days (High Risk)</v>
      </c>
      <c r="P52">
        <f t="shared" si="4"/>
        <v>0</v>
      </c>
      <c r="Q52" s="3">
        <f t="shared" ca="1" si="5"/>
        <v>1578.97</v>
      </c>
    </row>
    <row r="53" spans="1:17" x14ac:dyDescent="0.25">
      <c r="A53" t="s">
        <v>57</v>
      </c>
      <c r="B53" t="s">
        <v>908</v>
      </c>
      <c r="C53" s="1">
        <v>45674</v>
      </c>
      <c r="D53" s="1">
        <v>45719</v>
      </c>
      <c r="E53">
        <v>1246.19</v>
      </c>
      <c r="F53" t="s">
        <v>913</v>
      </c>
      <c r="G53" t="s">
        <v>916</v>
      </c>
      <c r="I53" t="s">
        <v>919</v>
      </c>
      <c r="J53" t="b">
        <f t="shared" si="0"/>
        <v>1</v>
      </c>
      <c r="K53" s="3">
        <f t="shared" ca="1" si="1"/>
        <v>377</v>
      </c>
      <c r="L53" s="3">
        <f t="shared" ca="1" si="2"/>
        <v>332</v>
      </c>
      <c r="M53" t="str">
        <f t="shared" ca="1" si="3"/>
        <v>Overdue</v>
      </c>
      <c r="N53">
        <f t="shared" si="6"/>
        <v>1246.19</v>
      </c>
      <c r="O53" t="str" cm="1">
        <f t="array" aca="1" ref="O53" ca="1">_xlfn.IFS(
L53&lt;=0,"Not Due",
L53&lt;=30,"0–30 Days",
L53&lt;=60,"31–60 Days",
L53&lt;=90,"61–90 Days",
L53&lt;=180,"91–180 Days",
L53&lt;=365,"181–365 Days",
L53&gt;365,"365+ Days (High Risk)"
)</f>
        <v>181–365 Days</v>
      </c>
      <c r="P53">
        <f t="shared" si="4"/>
        <v>0</v>
      </c>
      <c r="Q53" s="3">
        <f t="shared" ca="1" si="5"/>
        <v>1246.19</v>
      </c>
    </row>
    <row r="54" spans="1:17" x14ac:dyDescent="0.25">
      <c r="A54" t="s">
        <v>58</v>
      </c>
      <c r="B54" t="s">
        <v>910</v>
      </c>
      <c r="C54" s="1">
        <v>45070</v>
      </c>
      <c r="D54" s="1">
        <v>45115</v>
      </c>
      <c r="E54">
        <v>3082.8</v>
      </c>
      <c r="F54" t="s">
        <v>913</v>
      </c>
      <c r="G54" t="s">
        <v>918</v>
      </c>
      <c r="H54" s="1">
        <v>45115</v>
      </c>
      <c r="I54" t="s">
        <v>919</v>
      </c>
      <c r="J54" t="b">
        <f t="shared" si="0"/>
        <v>0</v>
      </c>
      <c r="K54" s="3">
        <f t="shared" ca="1" si="1"/>
        <v>45</v>
      </c>
      <c r="L54" s="3">
        <f t="shared" ca="1" si="2"/>
        <v>0</v>
      </c>
      <c r="M54" t="str">
        <f t="shared" ca="1" si="3"/>
        <v>On Time</v>
      </c>
      <c r="N54">
        <f t="shared" si="6"/>
        <v>0</v>
      </c>
      <c r="O54" t="str" cm="1">
        <f t="array" aca="1" ref="O54" ca="1">_xlfn.IFS(
L54&lt;=0,"Not Due",
L54&lt;=30,"0–30 Days",
L54&lt;=60,"31–60 Days",
L54&lt;=90,"61–90 Days",
L54&lt;=180,"91–180 Days",
L54&lt;=365,"181–365 Days",
L54&gt;365,"365+ Days (High Risk)"
)</f>
        <v>Not Due</v>
      </c>
      <c r="P54">
        <f t="shared" si="4"/>
        <v>3082.8</v>
      </c>
      <c r="Q54" s="3">
        <f t="shared" ca="1" si="5"/>
        <v>0</v>
      </c>
    </row>
    <row r="55" spans="1:17" x14ac:dyDescent="0.25">
      <c r="A55" t="s">
        <v>59</v>
      </c>
      <c r="B55" t="s">
        <v>906</v>
      </c>
      <c r="C55" s="1">
        <v>45756</v>
      </c>
      <c r="D55" s="1">
        <v>45801</v>
      </c>
      <c r="E55">
        <v>473.33</v>
      </c>
      <c r="F55" t="s">
        <v>914</v>
      </c>
      <c r="G55" t="s">
        <v>917</v>
      </c>
      <c r="I55" t="s">
        <v>919</v>
      </c>
      <c r="J55" t="b">
        <f t="shared" si="0"/>
        <v>1</v>
      </c>
      <c r="K55" s="3">
        <f t="shared" ca="1" si="1"/>
        <v>295</v>
      </c>
      <c r="L55" s="3">
        <f t="shared" ca="1" si="2"/>
        <v>250</v>
      </c>
      <c r="M55" t="str">
        <f t="shared" ca="1" si="3"/>
        <v>Overdue</v>
      </c>
      <c r="N55">
        <f t="shared" si="6"/>
        <v>473.33</v>
      </c>
      <c r="O55" t="str" cm="1">
        <f t="array" aca="1" ref="O55" ca="1">_xlfn.IFS(
L55&lt;=0,"Not Due",
L55&lt;=30,"0–30 Days",
L55&lt;=60,"31–60 Days",
L55&lt;=90,"61–90 Days",
L55&lt;=180,"91–180 Days",
L55&lt;=365,"181–365 Days",
L55&gt;365,"365+ Days (High Risk)"
)</f>
        <v>181–365 Days</v>
      </c>
      <c r="P55">
        <f t="shared" si="4"/>
        <v>0</v>
      </c>
      <c r="Q55" s="3">
        <f t="shared" ca="1" si="5"/>
        <v>473.33</v>
      </c>
    </row>
    <row r="56" spans="1:17" x14ac:dyDescent="0.25">
      <c r="A56" t="s">
        <v>60</v>
      </c>
      <c r="B56" t="s">
        <v>906</v>
      </c>
      <c r="C56" s="1">
        <v>45480</v>
      </c>
      <c r="D56" s="1">
        <v>45525</v>
      </c>
      <c r="E56">
        <v>5228.9399999999996</v>
      </c>
      <c r="F56" t="s">
        <v>914</v>
      </c>
      <c r="G56" t="s">
        <v>916</v>
      </c>
      <c r="I56" t="s">
        <v>919</v>
      </c>
      <c r="J56" t="b">
        <f t="shared" si="0"/>
        <v>1</v>
      </c>
      <c r="K56" s="3">
        <f t="shared" ca="1" si="1"/>
        <v>571</v>
      </c>
      <c r="L56" s="3">
        <f t="shared" ca="1" si="2"/>
        <v>526</v>
      </c>
      <c r="M56" t="str">
        <f t="shared" ca="1" si="3"/>
        <v>Overdue</v>
      </c>
      <c r="N56">
        <f t="shared" si="6"/>
        <v>5228.9399999999996</v>
      </c>
      <c r="O56" t="str" cm="1">
        <f t="array" aca="1" ref="O56" ca="1">_xlfn.IFS(
L56&lt;=0,"Not Due",
L56&lt;=30,"0–30 Days",
L56&lt;=60,"31–60 Days",
L56&lt;=90,"61–90 Days",
L56&lt;=180,"91–180 Days",
L56&lt;=365,"181–365 Days",
L56&gt;365,"365+ Days (High Risk)"
)</f>
        <v>365+ Days (High Risk)</v>
      </c>
      <c r="P56">
        <f t="shared" si="4"/>
        <v>0</v>
      </c>
      <c r="Q56" s="3">
        <f t="shared" ca="1" si="5"/>
        <v>5228.9399999999996</v>
      </c>
    </row>
    <row r="57" spans="1:17" x14ac:dyDescent="0.25">
      <c r="A57" t="s">
        <v>61</v>
      </c>
      <c r="B57" t="s">
        <v>906</v>
      </c>
      <c r="C57" s="1">
        <v>45123</v>
      </c>
      <c r="D57" s="1">
        <v>45168</v>
      </c>
      <c r="E57">
        <v>3011.2</v>
      </c>
      <c r="F57" t="s">
        <v>915</v>
      </c>
      <c r="G57" t="s">
        <v>917</v>
      </c>
      <c r="I57" t="s">
        <v>919</v>
      </c>
      <c r="J57" t="b">
        <f t="shared" si="0"/>
        <v>1</v>
      </c>
      <c r="K57" s="3">
        <f t="shared" ca="1" si="1"/>
        <v>928</v>
      </c>
      <c r="L57" s="3">
        <f t="shared" ca="1" si="2"/>
        <v>883</v>
      </c>
      <c r="M57" t="str">
        <f t="shared" ca="1" si="3"/>
        <v>Overdue</v>
      </c>
      <c r="N57">
        <f t="shared" si="6"/>
        <v>3011.2</v>
      </c>
      <c r="O57" t="str" cm="1">
        <f t="array" aca="1" ref="O57" ca="1">_xlfn.IFS(
L57&lt;=0,"Not Due",
L57&lt;=30,"0–30 Days",
L57&lt;=60,"31–60 Days",
L57&lt;=90,"61–90 Days",
L57&lt;=180,"91–180 Days",
L57&lt;=365,"181–365 Days",
L57&gt;365,"365+ Days (High Risk)"
)</f>
        <v>365+ Days (High Risk)</v>
      </c>
      <c r="P57">
        <f t="shared" si="4"/>
        <v>0</v>
      </c>
      <c r="Q57" s="3">
        <f t="shared" ca="1" si="5"/>
        <v>3011.2</v>
      </c>
    </row>
    <row r="58" spans="1:17" x14ac:dyDescent="0.25">
      <c r="A58" t="s">
        <v>62</v>
      </c>
      <c r="B58" t="s">
        <v>908</v>
      </c>
      <c r="C58" s="1">
        <v>45650</v>
      </c>
      <c r="D58" s="1">
        <v>45695</v>
      </c>
      <c r="E58">
        <v>4681.96</v>
      </c>
      <c r="F58" t="s">
        <v>911</v>
      </c>
      <c r="G58" t="s">
        <v>916</v>
      </c>
      <c r="I58" t="s">
        <v>919</v>
      </c>
      <c r="J58" t="b">
        <f t="shared" si="0"/>
        <v>1</v>
      </c>
      <c r="K58" s="3">
        <f t="shared" ca="1" si="1"/>
        <v>401</v>
      </c>
      <c r="L58" s="3">
        <f t="shared" ca="1" si="2"/>
        <v>356</v>
      </c>
      <c r="M58" t="str">
        <f t="shared" ca="1" si="3"/>
        <v>Overdue</v>
      </c>
      <c r="N58">
        <f t="shared" si="6"/>
        <v>4681.96</v>
      </c>
      <c r="O58" t="str" cm="1">
        <f t="array" aca="1" ref="O58" ca="1">_xlfn.IFS(
L58&lt;=0,"Not Due",
L58&lt;=30,"0–30 Days",
L58&lt;=60,"31–60 Days",
L58&lt;=90,"61–90 Days",
L58&lt;=180,"91–180 Days",
L58&lt;=365,"181–365 Days",
L58&gt;365,"365+ Days (High Risk)"
)</f>
        <v>181–365 Days</v>
      </c>
      <c r="P58">
        <f t="shared" si="4"/>
        <v>0</v>
      </c>
      <c r="Q58" s="3">
        <f t="shared" ca="1" si="5"/>
        <v>4681.96</v>
      </c>
    </row>
    <row r="59" spans="1:17" x14ac:dyDescent="0.25">
      <c r="A59" t="s">
        <v>63</v>
      </c>
      <c r="B59" t="s">
        <v>908</v>
      </c>
      <c r="C59" s="1">
        <v>45078</v>
      </c>
      <c r="D59" s="1">
        <v>45123</v>
      </c>
      <c r="E59">
        <v>814.13</v>
      </c>
      <c r="F59" t="s">
        <v>911</v>
      </c>
      <c r="G59" t="s">
        <v>918</v>
      </c>
      <c r="H59" s="1">
        <v>45123</v>
      </c>
      <c r="I59" t="s">
        <v>919</v>
      </c>
      <c r="J59" t="b">
        <f t="shared" si="0"/>
        <v>0</v>
      </c>
      <c r="K59" s="3">
        <f t="shared" ca="1" si="1"/>
        <v>45</v>
      </c>
      <c r="L59" s="3">
        <f t="shared" ca="1" si="2"/>
        <v>0</v>
      </c>
      <c r="M59" t="str">
        <f t="shared" ca="1" si="3"/>
        <v>On Time</v>
      </c>
      <c r="N59">
        <f t="shared" si="6"/>
        <v>0</v>
      </c>
      <c r="O59" t="str" cm="1">
        <f t="array" aca="1" ref="O59" ca="1">_xlfn.IFS(
L59&lt;=0,"Not Due",
L59&lt;=30,"0–30 Days",
L59&lt;=60,"31–60 Days",
L59&lt;=90,"61–90 Days",
L59&lt;=180,"91–180 Days",
L59&lt;=365,"181–365 Days",
L59&gt;365,"365+ Days (High Risk)"
)</f>
        <v>Not Due</v>
      </c>
      <c r="P59">
        <f t="shared" si="4"/>
        <v>814.13</v>
      </c>
      <c r="Q59" s="3">
        <f t="shared" ca="1" si="5"/>
        <v>0</v>
      </c>
    </row>
    <row r="60" spans="1:17" x14ac:dyDescent="0.25">
      <c r="A60" t="s">
        <v>64</v>
      </c>
      <c r="B60" t="s">
        <v>907</v>
      </c>
      <c r="C60" s="1">
        <v>45175</v>
      </c>
      <c r="D60" s="1">
        <v>45220</v>
      </c>
      <c r="E60">
        <v>4305.1099999999997</v>
      </c>
      <c r="F60" t="s">
        <v>914</v>
      </c>
      <c r="G60" t="s">
        <v>916</v>
      </c>
      <c r="I60" t="s">
        <v>919</v>
      </c>
      <c r="J60" t="b">
        <f t="shared" si="0"/>
        <v>1</v>
      </c>
      <c r="K60" s="3">
        <f t="shared" ca="1" si="1"/>
        <v>876</v>
      </c>
      <c r="L60" s="3">
        <f t="shared" ca="1" si="2"/>
        <v>831</v>
      </c>
      <c r="M60" t="str">
        <f t="shared" ca="1" si="3"/>
        <v>Overdue</v>
      </c>
      <c r="N60">
        <f t="shared" si="6"/>
        <v>4305.1099999999997</v>
      </c>
      <c r="O60" t="str" cm="1">
        <f t="array" aca="1" ref="O60" ca="1">_xlfn.IFS(
L60&lt;=0,"Not Due",
L60&lt;=30,"0–30 Days",
L60&lt;=60,"31–60 Days",
L60&lt;=90,"61–90 Days",
L60&lt;=180,"91–180 Days",
L60&lt;=365,"181–365 Days",
L60&gt;365,"365+ Days (High Risk)"
)</f>
        <v>365+ Days (High Risk)</v>
      </c>
      <c r="P60">
        <f t="shared" si="4"/>
        <v>0</v>
      </c>
      <c r="Q60" s="3">
        <f t="shared" ca="1" si="5"/>
        <v>4305.1099999999997</v>
      </c>
    </row>
    <row r="61" spans="1:17" x14ac:dyDescent="0.25">
      <c r="A61" t="s">
        <v>65</v>
      </c>
      <c r="B61" t="s">
        <v>906</v>
      </c>
      <c r="C61" s="1">
        <v>45106</v>
      </c>
      <c r="D61" s="1">
        <v>45151</v>
      </c>
      <c r="E61">
        <v>902.23</v>
      </c>
      <c r="F61" t="s">
        <v>915</v>
      </c>
      <c r="G61" t="s">
        <v>918</v>
      </c>
      <c r="H61" s="1">
        <v>45151</v>
      </c>
      <c r="I61" t="s">
        <v>919</v>
      </c>
      <c r="J61" t="b">
        <f t="shared" si="0"/>
        <v>0</v>
      </c>
      <c r="K61" s="3">
        <f t="shared" ca="1" si="1"/>
        <v>45</v>
      </c>
      <c r="L61" s="3">
        <f t="shared" ca="1" si="2"/>
        <v>0</v>
      </c>
      <c r="M61" t="str">
        <f t="shared" ca="1" si="3"/>
        <v>On Time</v>
      </c>
      <c r="N61">
        <f t="shared" si="6"/>
        <v>0</v>
      </c>
      <c r="O61" t="str" cm="1">
        <f t="array" aca="1" ref="O61" ca="1">_xlfn.IFS(
L61&lt;=0,"Not Due",
L61&lt;=30,"0–30 Days",
L61&lt;=60,"31–60 Days",
L61&lt;=90,"61–90 Days",
L61&lt;=180,"91–180 Days",
L61&lt;=365,"181–365 Days",
L61&gt;365,"365+ Days (High Risk)"
)</f>
        <v>Not Due</v>
      </c>
      <c r="P61">
        <f t="shared" si="4"/>
        <v>902.23</v>
      </c>
      <c r="Q61" s="3">
        <f t="shared" ca="1" si="5"/>
        <v>0</v>
      </c>
    </row>
    <row r="62" spans="1:17" x14ac:dyDescent="0.25">
      <c r="A62" t="s">
        <v>66</v>
      </c>
      <c r="B62" t="s">
        <v>908</v>
      </c>
      <c r="C62" s="1">
        <v>45669</v>
      </c>
      <c r="D62" s="1">
        <v>45714</v>
      </c>
      <c r="E62">
        <v>7045.91</v>
      </c>
      <c r="F62" t="s">
        <v>911</v>
      </c>
      <c r="G62" t="s">
        <v>916</v>
      </c>
      <c r="I62" t="s">
        <v>919</v>
      </c>
      <c r="J62" t="b">
        <f t="shared" si="0"/>
        <v>1</v>
      </c>
      <c r="K62" s="3">
        <f t="shared" ca="1" si="1"/>
        <v>382</v>
      </c>
      <c r="L62" s="3">
        <f t="shared" ca="1" si="2"/>
        <v>337</v>
      </c>
      <c r="M62" t="str">
        <f t="shared" ca="1" si="3"/>
        <v>Overdue</v>
      </c>
      <c r="N62">
        <f t="shared" si="6"/>
        <v>7045.91</v>
      </c>
      <c r="O62" t="str" cm="1">
        <f t="array" aca="1" ref="O62" ca="1">_xlfn.IFS(
L62&lt;=0,"Not Due",
L62&lt;=30,"0–30 Days",
L62&lt;=60,"31–60 Days",
L62&lt;=90,"61–90 Days",
L62&lt;=180,"91–180 Days",
L62&lt;=365,"181–365 Days",
L62&gt;365,"365+ Days (High Risk)"
)</f>
        <v>181–365 Days</v>
      </c>
      <c r="P62">
        <f t="shared" si="4"/>
        <v>0</v>
      </c>
      <c r="Q62" s="3">
        <f t="shared" ca="1" si="5"/>
        <v>7045.91</v>
      </c>
    </row>
    <row r="63" spans="1:17" x14ac:dyDescent="0.25">
      <c r="A63" t="s">
        <v>67</v>
      </c>
      <c r="B63" t="s">
        <v>908</v>
      </c>
      <c r="C63" s="1">
        <v>45759</v>
      </c>
      <c r="D63" s="1">
        <v>45804</v>
      </c>
      <c r="E63">
        <v>425.01</v>
      </c>
      <c r="F63" t="s">
        <v>912</v>
      </c>
      <c r="G63" t="s">
        <v>917</v>
      </c>
      <c r="I63" t="s">
        <v>919</v>
      </c>
      <c r="J63" t="b">
        <f t="shared" si="0"/>
        <v>1</v>
      </c>
      <c r="K63" s="3">
        <f t="shared" ca="1" si="1"/>
        <v>292</v>
      </c>
      <c r="L63" s="3">
        <f t="shared" ca="1" si="2"/>
        <v>247</v>
      </c>
      <c r="M63" t="str">
        <f t="shared" ca="1" si="3"/>
        <v>Overdue</v>
      </c>
      <c r="N63">
        <f t="shared" si="6"/>
        <v>425.01</v>
      </c>
      <c r="O63" t="str" cm="1">
        <f t="array" aca="1" ref="O63" ca="1">_xlfn.IFS(
L63&lt;=0,"Not Due",
L63&lt;=30,"0–30 Days",
L63&lt;=60,"31–60 Days",
L63&lt;=90,"61–90 Days",
L63&lt;=180,"91–180 Days",
L63&lt;=365,"181–365 Days",
L63&gt;365,"365+ Days (High Risk)"
)</f>
        <v>181–365 Days</v>
      </c>
      <c r="P63">
        <f t="shared" si="4"/>
        <v>0</v>
      </c>
      <c r="Q63" s="3">
        <f t="shared" ca="1" si="5"/>
        <v>425.01</v>
      </c>
    </row>
    <row r="64" spans="1:17" x14ac:dyDescent="0.25">
      <c r="A64" t="s">
        <v>68</v>
      </c>
      <c r="B64" t="s">
        <v>910</v>
      </c>
      <c r="C64" s="1">
        <v>45219</v>
      </c>
      <c r="D64" s="1">
        <v>45264</v>
      </c>
      <c r="E64">
        <v>839.83</v>
      </c>
      <c r="F64" t="s">
        <v>911</v>
      </c>
      <c r="G64" t="s">
        <v>917</v>
      </c>
      <c r="I64" t="s">
        <v>919</v>
      </c>
      <c r="J64" t="b">
        <f t="shared" si="0"/>
        <v>1</v>
      </c>
      <c r="K64" s="3">
        <f t="shared" ca="1" si="1"/>
        <v>832</v>
      </c>
      <c r="L64" s="3">
        <f t="shared" ca="1" si="2"/>
        <v>787</v>
      </c>
      <c r="M64" t="str">
        <f t="shared" ca="1" si="3"/>
        <v>Overdue</v>
      </c>
      <c r="N64">
        <f t="shared" si="6"/>
        <v>839.83</v>
      </c>
      <c r="O64" t="str" cm="1">
        <f t="array" aca="1" ref="O64" ca="1">_xlfn.IFS(
L64&lt;=0,"Not Due",
L64&lt;=30,"0–30 Days",
L64&lt;=60,"31–60 Days",
L64&lt;=90,"61–90 Days",
L64&lt;=180,"91–180 Days",
L64&lt;=365,"181–365 Days",
L64&gt;365,"365+ Days (High Risk)"
)</f>
        <v>365+ Days (High Risk)</v>
      </c>
      <c r="P64">
        <f t="shared" si="4"/>
        <v>0</v>
      </c>
      <c r="Q64" s="3">
        <f t="shared" ca="1" si="5"/>
        <v>839.83</v>
      </c>
    </row>
    <row r="65" spans="1:17" x14ac:dyDescent="0.25">
      <c r="A65" t="s">
        <v>69</v>
      </c>
      <c r="B65" t="s">
        <v>909</v>
      </c>
      <c r="C65" s="1">
        <v>45589</v>
      </c>
      <c r="D65" s="1">
        <v>45634</v>
      </c>
      <c r="E65">
        <v>997.56</v>
      </c>
      <c r="F65" t="s">
        <v>913</v>
      </c>
      <c r="G65" t="s">
        <v>917</v>
      </c>
      <c r="I65" t="s">
        <v>919</v>
      </c>
      <c r="J65" t="b">
        <f t="shared" si="0"/>
        <v>1</v>
      </c>
      <c r="K65" s="3">
        <f t="shared" ca="1" si="1"/>
        <v>462</v>
      </c>
      <c r="L65" s="3">
        <f t="shared" ca="1" si="2"/>
        <v>417</v>
      </c>
      <c r="M65" t="str">
        <f t="shared" ca="1" si="3"/>
        <v>Overdue</v>
      </c>
      <c r="N65">
        <f t="shared" si="6"/>
        <v>997.56</v>
      </c>
      <c r="O65" t="str" cm="1">
        <f t="array" aca="1" ref="O65" ca="1">_xlfn.IFS(
L65&lt;=0,"Not Due",
L65&lt;=30,"0–30 Days",
L65&lt;=60,"31–60 Days",
L65&lt;=90,"61–90 Days",
L65&lt;=180,"91–180 Days",
L65&lt;=365,"181–365 Days",
L65&gt;365,"365+ Days (High Risk)"
)</f>
        <v>365+ Days (High Risk)</v>
      </c>
      <c r="P65">
        <f t="shared" si="4"/>
        <v>0</v>
      </c>
      <c r="Q65" s="3">
        <f t="shared" ca="1" si="5"/>
        <v>997.56</v>
      </c>
    </row>
    <row r="66" spans="1:17" x14ac:dyDescent="0.25">
      <c r="A66" t="s">
        <v>70</v>
      </c>
      <c r="B66" t="s">
        <v>906</v>
      </c>
      <c r="C66" s="1">
        <v>45152</v>
      </c>
      <c r="D66" s="1">
        <v>45197</v>
      </c>
      <c r="E66">
        <v>6142.65</v>
      </c>
      <c r="F66" t="s">
        <v>911</v>
      </c>
      <c r="G66" t="s">
        <v>917</v>
      </c>
      <c r="I66" t="s">
        <v>919</v>
      </c>
      <c r="J66" t="b">
        <f t="shared" ref="J66:J129" si="7">ISBLANK(H66)</f>
        <v>1</v>
      </c>
      <c r="K66" s="3">
        <f t="shared" ref="K66:K129" ca="1" si="8">IF(G66="Received",
IF(H66="",TODAY()-C66,H66-C66),
TODAY()-C66)</f>
        <v>899</v>
      </c>
      <c r="L66" s="3">
        <f t="shared" ref="L66:L129" ca="1" si="9">IF(N66=0,0,TODAY()-D66)</f>
        <v>854</v>
      </c>
      <c r="M66" t="str">
        <f t="shared" ref="M66:M129" ca="1" si="10">IF(L66&gt;0,"Overdue","On Time")</f>
        <v>Overdue</v>
      </c>
      <c r="N66">
        <f t="shared" si="6"/>
        <v>6142.65</v>
      </c>
      <c r="O66" t="str" cm="1">
        <f t="array" aca="1" ref="O66" ca="1">_xlfn.IFS(
L66&lt;=0,"Not Due",
L66&lt;=30,"0–30 Days",
L66&lt;=60,"31–60 Days",
L66&lt;=90,"61–90 Days",
L66&lt;=180,"91–180 Days",
L66&lt;=365,"181–365 Days",
L66&gt;365,"365+ Days (High Risk)"
)</f>
        <v>365+ Days (High Risk)</v>
      </c>
      <c r="P66">
        <f t="shared" si="4"/>
        <v>0</v>
      </c>
      <c r="Q66" s="3">
        <f t="shared" ref="Q66:Q129" ca="1" si="11">IF(L66&gt;0, N66, 0)</f>
        <v>6142.65</v>
      </c>
    </row>
    <row r="67" spans="1:17" x14ac:dyDescent="0.25">
      <c r="A67" t="s">
        <v>71</v>
      </c>
      <c r="B67" t="s">
        <v>908</v>
      </c>
      <c r="C67" s="1">
        <v>45739</v>
      </c>
      <c r="D67" s="1">
        <v>45784</v>
      </c>
      <c r="E67">
        <v>4402.5200000000004</v>
      </c>
      <c r="F67" t="s">
        <v>914</v>
      </c>
      <c r="G67" t="s">
        <v>917</v>
      </c>
      <c r="I67" t="s">
        <v>919</v>
      </c>
      <c r="J67" t="b">
        <f t="shared" si="7"/>
        <v>1</v>
      </c>
      <c r="K67" s="3">
        <f t="shared" ca="1" si="8"/>
        <v>312</v>
      </c>
      <c r="L67" s="3">
        <f t="shared" ca="1" si="9"/>
        <v>267</v>
      </c>
      <c r="M67" t="str">
        <f t="shared" ca="1" si="10"/>
        <v>Overdue</v>
      </c>
      <c r="N67">
        <f t="shared" ref="N67:N130" si="12">IF(G67="Received",0,E67)</f>
        <v>4402.5200000000004</v>
      </c>
      <c r="O67" t="str" cm="1">
        <f t="array" aca="1" ref="O67" ca="1">_xlfn.IFS(
L67&lt;=0,"Not Due",
L67&lt;=30,"0–30 Days",
L67&lt;=60,"31–60 Days",
L67&lt;=90,"61–90 Days",
L67&lt;=180,"91–180 Days",
L67&lt;=365,"181–365 Days",
L67&gt;365,"365+ Days (High Risk)"
)</f>
        <v>181–365 Days</v>
      </c>
      <c r="P67">
        <f t="shared" ref="P67:P130" si="13">E67-N67</f>
        <v>0</v>
      </c>
      <c r="Q67" s="3">
        <f t="shared" ca="1" si="11"/>
        <v>4402.5200000000004</v>
      </c>
    </row>
    <row r="68" spans="1:17" x14ac:dyDescent="0.25">
      <c r="A68" t="s">
        <v>72</v>
      </c>
      <c r="B68" t="s">
        <v>909</v>
      </c>
      <c r="C68" s="1">
        <v>45483</v>
      </c>
      <c r="D68" s="1">
        <v>45528</v>
      </c>
      <c r="E68">
        <v>7809.98</v>
      </c>
      <c r="F68" t="s">
        <v>914</v>
      </c>
      <c r="G68" t="s">
        <v>917</v>
      </c>
      <c r="I68" t="s">
        <v>919</v>
      </c>
      <c r="J68" t="b">
        <f t="shared" si="7"/>
        <v>1</v>
      </c>
      <c r="K68" s="3">
        <f t="shared" ca="1" si="8"/>
        <v>568</v>
      </c>
      <c r="L68" s="3">
        <f t="shared" ca="1" si="9"/>
        <v>523</v>
      </c>
      <c r="M68" t="str">
        <f t="shared" ca="1" si="10"/>
        <v>Overdue</v>
      </c>
      <c r="N68">
        <f t="shared" si="12"/>
        <v>7809.98</v>
      </c>
      <c r="O68" t="str" cm="1">
        <f t="array" aca="1" ref="O68" ca="1">_xlfn.IFS(
L68&lt;=0,"Not Due",
L68&lt;=30,"0–30 Days",
L68&lt;=60,"31–60 Days",
L68&lt;=90,"61–90 Days",
L68&lt;=180,"91–180 Days",
L68&lt;=365,"181–365 Days",
L68&gt;365,"365+ Days (High Risk)"
)</f>
        <v>365+ Days (High Risk)</v>
      </c>
      <c r="P68">
        <f t="shared" si="13"/>
        <v>0</v>
      </c>
      <c r="Q68" s="3">
        <f t="shared" ca="1" si="11"/>
        <v>7809.98</v>
      </c>
    </row>
    <row r="69" spans="1:17" x14ac:dyDescent="0.25">
      <c r="A69" t="s">
        <v>73</v>
      </c>
      <c r="B69" t="s">
        <v>907</v>
      </c>
      <c r="C69" s="1">
        <v>45200</v>
      </c>
      <c r="D69" s="1">
        <v>45245</v>
      </c>
      <c r="E69">
        <v>7348.09</v>
      </c>
      <c r="F69" t="s">
        <v>914</v>
      </c>
      <c r="G69" t="s">
        <v>918</v>
      </c>
      <c r="H69" s="1">
        <v>45245</v>
      </c>
      <c r="I69" t="s">
        <v>919</v>
      </c>
      <c r="J69" t="b">
        <f t="shared" si="7"/>
        <v>0</v>
      </c>
      <c r="K69" s="3">
        <f t="shared" ca="1" si="8"/>
        <v>45</v>
      </c>
      <c r="L69" s="3">
        <f t="shared" ca="1" si="9"/>
        <v>0</v>
      </c>
      <c r="M69" t="str">
        <f t="shared" ca="1" si="10"/>
        <v>On Time</v>
      </c>
      <c r="N69">
        <f t="shared" si="12"/>
        <v>0</v>
      </c>
      <c r="O69" t="str" cm="1">
        <f t="array" aca="1" ref="O69" ca="1">_xlfn.IFS(
L69&lt;=0,"Not Due",
L69&lt;=30,"0–30 Days",
L69&lt;=60,"31–60 Days",
L69&lt;=90,"61–90 Days",
L69&lt;=180,"91–180 Days",
L69&lt;=365,"181–365 Days",
L69&gt;365,"365+ Days (High Risk)"
)</f>
        <v>Not Due</v>
      </c>
      <c r="P69">
        <f t="shared" si="13"/>
        <v>7348.09</v>
      </c>
      <c r="Q69" s="3">
        <f t="shared" ca="1" si="11"/>
        <v>0</v>
      </c>
    </row>
    <row r="70" spans="1:17" x14ac:dyDescent="0.25">
      <c r="A70" t="s">
        <v>74</v>
      </c>
      <c r="B70" t="s">
        <v>909</v>
      </c>
      <c r="C70" s="1">
        <v>45325</v>
      </c>
      <c r="D70" s="1">
        <v>45370</v>
      </c>
      <c r="E70">
        <v>2946.05</v>
      </c>
      <c r="F70" t="s">
        <v>912</v>
      </c>
      <c r="G70" t="s">
        <v>916</v>
      </c>
      <c r="I70" t="s">
        <v>919</v>
      </c>
      <c r="J70" t="b">
        <f t="shared" si="7"/>
        <v>1</v>
      </c>
      <c r="K70" s="3">
        <f t="shared" ca="1" si="8"/>
        <v>726</v>
      </c>
      <c r="L70" s="3">
        <f t="shared" ca="1" si="9"/>
        <v>681</v>
      </c>
      <c r="M70" t="str">
        <f t="shared" ca="1" si="10"/>
        <v>Overdue</v>
      </c>
      <c r="N70">
        <f t="shared" si="12"/>
        <v>2946.05</v>
      </c>
      <c r="O70" t="str" cm="1">
        <f t="array" aca="1" ref="O70" ca="1">_xlfn.IFS(
L70&lt;=0,"Not Due",
L70&lt;=30,"0–30 Days",
L70&lt;=60,"31–60 Days",
L70&lt;=90,"61–90 Days",
L70&lt;=180,"91–180 Days",
L70&lt;=365,"181–365 Days",
L70&gt;365,"365+ Days (High Risk)"
)</f>
        <v>365+ Days (High Risk)</v>
      </c>
      <c r="P70">
        <f t="shared" si="13"/>
        <v>0</v>
      </c>
      <c r="Q70" s="3">
        <f t="shared" ca="1" si="11"/>
        <v>2946.05</v>
      </c>
    </row>
    <row r="71" spans="1:17" x14ac:dyDescent="0.25">
      <c r="A71" t="s">
        <v>75</v>
      </c>
      <c r="B71" t="s">
        <v>908</v>
      </c>
      <c r="C71" s="1">
        <v>45451</v>
      </c>
      <c r="D71" s="1">
        <v>45496</v>
      </c>
      <c r="E71">
        <v>700.95</v>
      </c>
      <c r="F71" t="s">
        <v>914</v>
      </c>
      <c r="G71" t="s">
        <v>918</v>
      </c>
      <c r="H71" s="1">
        <v>45496</v>
      </c>
      <c r="I71" t="s">
        <v>919</v>
      </c>
      <c r="J71" t="b">
        <f t="shared" si="7"/>
        <v>0</v>
      </c>
      <c r="K71" s="3">
        <f t="shared" ca="1" si="8"/>
        <v>45</v>
      </c>
      <c r="L71" s="3">
        <f t="shared" ca="1" si="9"/>
        <v>0</v>
      </c>
      <c r="M71" t="str">
        <f t="shared" ca="1" si="10"/>
        <v>On Time</v>
      </c>
      <c r="N71">
        <f t="shared" si="12"/>
        <v>0</v>
      </c>
      <c r="O71" t="str" cm="1">
        <f t="array" aca="1" ref="O71" ca="1">_xlfn.IFS(
L71&lt;=0,"Not Due",
L71&lt;=30,"0–30 Days",
L71&lt;=60,"31–60 Days",
L71&lt;=90,"61–90 Days",
L71&lt;=180,"91–180 Days",
L71&lt;=365,"181–365 Days",
L71&gt;365,"365+ Days (High Risk)"
)</f>
        <v>Not Due</v>
      </c>
      <c r="P71">
        <f t="shared" si="13"/>
        <v>700.95</v>
      </c>
      <c r="Q71" s="3">
        <f t="shared" ca="1" si="11"/>
        <v>0</v>
      </c>
    </row>
    <row r="72" spans="1:17" x14ac:dyDescent="0.25">
      <c r="A72" t="s">
        <v>76</v>
      </c>
      <c r="B72" t="s">
        <v>907</v>
      </c>
      <c r="C72" s="1">
        <v>44956</v>
      </c>
      <c r="D72" s="1">
        <v>45001</v>
      </c>
      <c r="E72">
        <v>4822.1899999999996</v>
      </c>
      <c r="F72" t="s">
        <v>912</v>
      </c>
      <c r="G72" t="s">
        <v>916</v>
      </c>
      <c r="I72" t="s">
        <v>919</v>
      </c>
      <c r="J72" t="b">
        <f t="shared" si="7"/>
        <v>1</v>
      </c>
      <c r="K72" s="3">
        <f t="shared" ca="1" si="8"/>
        <v>1095</v>
      </c>
      <c r="L72" s="3">
        <f t="shared" ca="1" si="9"/>
        <v>1050</v>
      </c>
      <c r="M72" t="str">
        <f t="shared" ca="1" si="10"/>
        <v>Overdue</v>
      </c>
      <c r="N72">
        <f t="shared" si="12"/>
        <v>4822.1899999999996</v>
      </c>
      <c r="O72" t="str" cm="1">
        <f t="array" aca="1" ref="O72" ca="1">_xlfn.IFS(
L72&lt;=0,"Not Due",
L72&lt;=30,"0–30 Days",
L72&lt;=60,"31–60 Days",
L72&lt;=90,"61–90 Days",
L72&lt;=180,"91–180 Days",
L72&lt;=365,"181–365 Days",
L72&gt;365,"365+ Days (High Risk)"
)</f>
        <v>365+ Days (High Risk)</v>
      </c>
      <c r="P72">
        <f t="shared" si="13"/>
        <v>0</v>
      </c>
      <c r="Q72" s="3">
        <f t="shared" ca="1" si="11"/>
        <v>4822.1899999999996</v>
      </c>
    </row>
    <row r="73" spans="1:17" x14ac:dyDescent="0.25">
      <c r="A73" t="s">
        <v>77</v>
      </c>
      <c r="B73" t="s">
        <v>909</v>
      </c>
      <c r="C73" s="1">
        <v>45325</v>
      </c>
      <c r="D73" s="1">
        <v>45370</v>
      </c>
      <c r="E73">
        <v>457.35</v>
      </c>
      <c r="F73" t="s">
        <v>914</v>
      </c>
      <c r="G73" t="s">
        <v>916</v>
      </c>
      <c r="I73" t="s">
        <v>919</v>
      </c>
      <c r="J73" t="b">
        <f t="shared" si="7"/>
        <v>1</v>
      </c>
      <c r="K73" s="3">
        <f t="shared" ca="1" si="8"/>
        <v>726</v>
      </c>
      <c r="L73" s="3">
        <f t="shared" ca="1" si="9"/>
        <v>681</v>
      </c>
      <c r="M73" t="str">
        <f t="shared" ca="1" si="10"/>
        <v>Overdue</v>
      </c>
      <c r="N73">
        <f t="shared" si="12"/>
        <v>457.35</v>
      </c>
      <c r="O73" t="str" cm="1">
        <f t="array" aca="1" ref="O73" ca="1">_xlfn.IFS(
L73&lt;=0,"Not Due",
L73&lt;=30,"0–30 Days",
L73&lt;=60,"31–60 Days",
L73&lt;=90,"61–90 Days",
L73&lt;=180,"91–180 Days",
L73&lt;=365,"181–365 Days",
L73&gt;365,"365+ Days (High Risk)"
)</f>
        <v>365+ Days (High Risk)</v>
      </c>
      <c r="P73">
        <f t="shared" si="13"/>
        <v>0</v>
      </c>
      <c r="Q73" s="3">
        <f t="shared" ca="1" si="11"/>
        <v>457.35</v>
      </c>
    </row>
    <row r="74" spans="1:17" x14ac:dyDescent="0.25">
      <c r="A74" t="s">
        <v>78</v>
      </c>
      <c r="B74" t="s">
        <v>909</v>
      </c>
      <c r="C74" s="1">
        <v>45192</v>
      </c>
      <c r="D74" s="1">
        <v>45237</v>
      </c>
      <c r="E74">
        <v>2055.94</v>
      </c>
      <c r="F74" t="s">
        <v>913</v>
      </c>
      <c r="G74" t="s">
        <v>916</v>
      </c>
      <c r="I74" t="s">
        <v>919</v>
      </c>
      <c r="J74" t="b">
        <f t="shared" si="7"/>
        <v>1</v>
      </c>
      <c r="K74" s="3">
        <f t="shared" ca="1" si="8"/>
        <v>859</v>
      </c>
      <c r="L74" s="3">
        <f t="shared" ca="1" si="9"/>
        <v>814</v>
      </c>
      <c r="M74" t="str">
        <f t="shared" ca="1" si="10"/>
        <v>Overdue</v>
      </c>
      <c r="N74">
        <f t="shared" si="12"/>
        <v>2055.94</v>
      </c>
      <c r="O74" t="str" cm="1">
        <f t="array" aca="1" ref="O74" ca="1">_xlfn.IFS(
L74&lt;=0,"Not Due",
L74&lt;=30,"0–30 Days",
L74&lt;=60,"31–60 Days",
L74&lt;=90,"61–90 Days",
L74&lt;=180,"91–180 Days",
L74&lt;=365,"181–365 Days",
L74&gt;365,"365+ Days (High Risk)"
)</f>
        <v>365+ Days (High Risk)</v>
      </c>
      <c r="P74">
        <f t="shared" si="13"/>
        <v>0</v>
      </c>
      <c r="Q74" s="3">
        <f t="shared" ca="1" si="11"/>
        <v>2055.94</v>
      </c>
    </row>
    <row r="75" spans="1:17" x14ac:dyDescent="0.25">
      <c r="A75" t="s">
        <v>79</v>
      </c>
      <c r="B75" t="s">
        <v>910</v>
      </c>
      <c r="C75" s="1">
        <v>45406</v>
      </c>
      <c r="D75" s="1">
        <v>45451</v>
      </c>
      <c r="E75">
        <v>6747.59</v>
      </c>
      <c r="F75" t="s">
        <v>913</v>
      </c>
      <c r="G75" t="s">
        <v>916</v>
      </c>
      <c r="I75" t="s">
        <v>919</v>
      </c>
      <c r="J75" t="b">
        <f t="shared" si="7"/>
        <v>1</v>
      </c>
      <c r="K75" s="3">
        <f t="shared" ca="1" si="8"/>
        <v>645</v>
      </c>
      <c r="L75" s="3">
        <f t="shared" ca="1" si="9"/>
        <v>600</v>
      </c>
      <c r="M75" t="str">
        <f t="shared" ca="1" si="10"/>
        <v>Overdue</v>
      </c>
      <c r="N75">
        <f t="shared" si="12"/>
        <v>6747.59</v>
      </c>
      <c r="O75" t="str" cm="1">
        <f t="array" aca="1" ref="O75" ca="1">_xlfn.IFS(
L75&lt;=0,"Not Due",
L75&lt;=30,"0–30 Days",
L75&lt;=60,"31–60 Days",
L75&lt;=90,"61–90 Days",
L75&lt;=180,"91–180 Days",
L75&lt;=365,"181–365 Days",
L75&gt;365,"365+ Days (High Risk)"
)</f>
        <v>365+ Days (High Risk)</v>
      </c>
      <c r="P75">
        <f t="shared" si="13"/>
        <v>0</v>
      </c>
      <c r="Q75" s="3">
        <f t="shared" ca="1" si="11"/>
        <v>6747.59</v>
      </c>
    </row>
    <row r="76" spans="1:17" x14ac:dyDescent="0.25">
      <c r="A76" t="s">
        <v>80</v>
      </c>
      <c r="B76" t="s">
        <v>909</v>
      </c>
      <c r="C76" s="1">
        <v>45580</v>
      </c>
      <c r="D76" s="1">
        <v>45625</v>
      </c>
      <c r="E76">
        <v>3184.22</v>
      </c>
      <c r="F76" t="s">
        <v>912</v>
      </c>
      <c r="G76" t="s">
        <v>916</v>
      </c>
      <c r="I76" t="s">
        <v>919</v>
      </c>
      <c r="J76" t="b">
        <f t="shared" si="7"/>
        <v>1</v>
      </c>
      <c r="K76" s="3">
        <f t="shared" ca="1" si="8"/>
        <v>471</v>
      </c>
      <c r="L76" s="3">
        <f t="shared" ca="1" si="9"/>
        <v>426</v>
      </c>
      <c r="M76" t="str">
        <f t="shared" ca="1" si="10"/>
        <v>Overdue</v>
      </c>
      <c r="N76">
        <f t="shared" si="12"/>
        <v>3184.22</v>
      </c>
      <c r="O76" t="str" cm="1">
        <f t="array" aca="1" ref="O76" ca="1">_xlfn.IFS(
L76&lt;=0,"Not Due",
L76&lt;=30,"0–30 Days",
L76&lt;=60,"31–60 Days",
L76&lt;=90,"61–90 Days",
L76&lt;=180,"91–180 Days",
L76&lt;=365,"181–365 Days",
L76&gt;365,"365+ Days (High Risk)"
)</f>
        <v>365+ Days (High Risk)</v>
      </c>
      <c r="P76">
        <f t="shared" si="13"/>
        <v>0</v>
      </c>
      <c r="Q76" s="3">
        <f t="shared" ca="1" si="11"/>
        <v>3184.22</v>
      </c>
    </row>
    <row r="77" spans="1:17" x14ac:dyDescent="0.25">
      <c r="A77" t="s">
        <v>81</v>
      </c>
      <c r="B77" t="s">
        <v>909</v>
      </c>
      <c r="C77" s="1">
        <v>45704</v>
      </c>
      <c r="D77" s="1">
        <v>45749</v>
      </c>
      <c r="E77">
        <v>5289.37</v>
      </c>
      <c r="F77" t="s">
        <v>912</v>
      </c>
      <c r="G77" t="s">
        <v>918</v>
      </c>
      <c r="H77" s="1">
        <v>45749</v>
      </c>
      <c r="I77" t="s">
        <v>919</v>
      </c>
      <c r="J77" t="b">
        <f t="shared" si="7"/>
        <v>0</v>
      </c>
      <c r="K77" s="3">
        <f t="shared" ca="1" si="8"/>
        <v>45</v>
      </c>
      <c r="L77" s="3">
        <f t="shared" ca="1" si="9"/>
        <v>0</v>
      </c>
      <c r="M77" t="str">
        <f t="shared" ca="1" si="10"/>
        <v>On Time</v>
      </c>
      <c r="N77">
        <f t="shared" si="12"/>
        <v>0</v>
      </c>
      <c r="O77" t="str" cm="1">
        <f t="array" aca="1" ref="O77" ca="1">_xlfn.IFS(
L77&lt;=0,"Not Due",
L77&lt;=30,"0–30 Days",
L77&lt;=60,"31–60 Days",
L77&lt;=90,"61–90 Days",
L77&lt;=180,"91–180 Days",
L77&lt;=365,"181–365 Days",
L77&gt;365,"365+ Days (High Risk)"
)</f>
        <v>Not Due</v>
      </c>
      <c r="P77">
        <f t="shared" si="13"/>
        <v>5289.37</v>
      </c>
      <c r="Q77" s="3">
        <f t="shared" ca="1" si="11"/>
        <v>0</v>
      </c>
    </row>
    <row r="78" spans="1:17" x14ac:dyDescent="0.25">
      <c r="A78" t="s">
        <v>82</v>
      </c>
      <c r="B78" t="s">
        <v>906</v>
      </c>
      <c r="C78" s="1">
        <v>45018</v>
      </c>
      <c r="D78" s="1">
        <v>45063</v>
      </c>
      <c r="E78">
        <v>6399.62</v>
      </c>
      <c r="F78" t="s">
        <v>913</v>
      </c>
      <c r="G78" t="s">
        <v>916</v>
      </c>
      <c r="I78" t="s">
        <v>919</v>
      </c>
      <c r="J78" t="b">
        <f t="shared" si="7"/>
        <v>1</v>
      </c>
      <c r="K78" s="3">
        <f t="shared" ca="1" si="8"/>
        <v>1033</v>
      </c>
      <c r="L78" s="3">
        <f t="shared" ca="1" si="9"/>
        <v>988</v>
      </c>
      <c r="M78" t="str">
        <f t="shared" ca="1" si="10"/>
        <v>Overdue</v>
      </c>
      <c r="N78">
        <f t="shared" si="12"/>
        <v>6399.62</v>
      </c>
      <c r="O78" t="str" cm="1">
        <f t="array" aca="1" ref="O78" ca="1">_xlfn.IFS(
L78&lt;=0,"Not Due",
L78&lt;=30,"0–30 Days",
L78&lt;=60,"31–60 Days",
L78&lt;=90,"61–90 Days",
L78&lt;=180,"91–180 Days",
L78&lt;=365,"181–365 Days",
L78&gt;365,"365+ Days (High Risk)"
)</f>
        <v>365+ Days (High Risk)</v>
      </c>
      <c r="P78">
        <f t="shared" si="13"/>
        <v>0</v>
      </c>
      <c r="Q78" s="3">
        <f t="shared" ca="1" si="11"/>
        <v>6399.62</v>
      </c>
    </row>
    <row r="79" spans="1:17" x14ac:dyDescent="0.25">
      <c r="A79" t="s">
        <v>83</v>
      </c>
      <c r="B79" t="s">
        <v>906</v>
      </c>
      <c r="C79" s="1">
        <v>45107</v>
      </c>
      <c r="D79" s="1">
        <v>45152</v>
      </c>
      <c r="E79">
        <v>775.03</v>
      </c>
      <c r="F79" t="s">
        <v>912</v>
      </c>
      <c r="G79" t="s">
        <v>917</v>
      </c>
      <c r="I79" t="s">
        <v>919</v>
      </c>
      <c r="J79" t="b">
        <f t="shared" si="7"/>
        <v>1</v>
      </c>
      <c r="K79" s="3">
        <f t="shared" ca="1" si="8"/>
        <v>944</v>
      </c>
      <c r="L79" s="3">
        <f t="shared" ca="1" si="9"/>
        <v>899</v>
      </c>
      <c r="M79" t="str">
        <f t="shared" ca="1" si="10"/>
        <v>Overdue</v>
      </c>
      <c r="N79">
        <f t="shared" si="12"/>
        <v>775.03</v>
      </c>
      <c r="O79" t="str" cm="1">
        <f t="array" aca="1" ref="O79" ca="1">_xlfn.IFS(
L79&lt;=0,"Not Due",
L79&lt;=30,"0–30 Days",
L79&lt;=60,"31–60 Days",
L79&lt;=90,"61–90 Days",
L79&lt;=180,"91–180 Days",
L79&lt;=365,"181–365 Days",
L79&gt;365,"365+ Days (High Risk)"
)</f>
        <v>365+ Days (High Risk)</v>
      </c>
      <c r="P79">
        <f t="shared" si="13"/>
        <v>0</v>
      </c>
      <c r="Q79" s="3">
        <f t="shared" ca="1" si="11"/>
        <v>775.03</v>
      </c>
    </row>
    <row r="80" spans="1:17" x14ac:dyDescent="0.25">
      <c r="A80" t="s">
        <v>84</v>
      </c>
      <c r="B80" t="s">
        <v>907</v>
      </c>
      <c r="C80" s="1">
        <v>45562</v>
      </c>
      <c r="D80" s="1">
        <v>45607</v>
      </c>
      <c r="E80">
        <v>3847.51</v>
      </c>
      <c r="F80" t="s">
        <v>915</v>
      </c>
      <c r="G80" t="s">
        <v>916</v>
      </c>
      <c r="I80" t="s">
        <v>919</v>
      </c>
      <c r="J80" t="b">
        <f t="shared" si="7"/>
        <v>1</v>
      </c>
      <c r="K80" s="3">
        <f t="shared" ca="1" si="8"/>
        <v>489</v>
      </c>
      <c r="L80" s="3">
        <f t="shared" ca="1" si="9"/>
        <v>444</v>
      </c>
      <c r="M80" t="str">
        <f t="shared" ca="1" si="10"/>
        <v>Overdue</v>
      </c>
      <c r="N80">
        <f t="shared" si="12"/>
        <v>3847.51</v>
      </c>
      <c r="O80" t="str" cm="1">
        <f t="array" aca="1" ref="O80" ca="1">_xlfn.IFS(
L80&lt;=0,"Not Due",
L80&lt;=30,"0–30 Days",
L80&lt;=60,"31–60 Days",
L80&lt;=90,"61–90 Days",
L80&lt;=180,"91–180 Days",
L80&lt;=365,"181–365 Days",
L80&gt;365,"365+ Days (High Risk)"
)</f>
        <v>365+ Days (High Risk)</v>
      </c>
      <c r="P80">
        <f t="shared" si="13"/>
        <v>0</v>
      </c>
      <c r="Q80" s="3">
        <f t="shared" ca="1" si="11"/>
        <v>3847.51</v>
      </c>
    </row>
    <row r="81" spans="1:17" x14ac:dyDescent="0.25">
      <c r="A81" t="s">
        <v>85</v>
      </c>
      <c r="B81" t="s">
        <v>907</v>
      </c>
      <c r="C81" s="1">
        <v>45746</v>
      </c>
      <c r="D81" s="1">
        <v>45791</v>
      </c>
      <c r="E81">
        <v>7379.19</v>
      </c>
      <c r="F81" t="s">
        <v>912</v>
      </c>
      <c r="G81" t="s">
        <v>918</v>
      </c>
      <c r="H81" s="1">
        <v>45791</v>
      </c>
      <c r="I81" t="s">
        <v>919</v>
      </c>
      <c r="J81" t="b">
        <f t="shared" si="7"/>
        <v>0</v>
      </c>
      <c r="K81" s="3">
        <f t="shared" ca="1" si="8"/>
        <v>45</v>
      </c>
      <c r="L81" s="3">
        <f t="shared" ca="1" si="9"/>
        <v>0</v>
      </c>
      <c r="M81" t="str">
        <f t="shared" ca="1" si="10"/>
        <v>On Time</v>
      </c>
      <c r="N81">
        <f t="shared" si="12"/>
        <v>0</v>
      </c>
      <c r="O81" t="str" cm="1">
        <f t="array" aca="1" ref="O81" ca="1">_xlfn.IFS(
L81&lt;=0,"Not Due",
L81&lt;=30,"0–30 Days",
L81&lt;=60,"31–60 Days",
L81&lt;=90,"61–90 Days",
L81&lt;=180,"91–180 Days",
L81&lt;=365,"181–365 Days",
L81&gt;365,"365+ Days (High Risk)"
)</f>
        <v>Not Due</v>
      </c>
      <c r="P81">
        <f t="shared" si="13"/>
        <v>7379.19</v>
      </c>
      <c r="Q81" s="3">
        <f t="shared" ca="1" si="11"/>
        <v>0</v>
      </c>
    </row>
    <row r="82" spans="1:17" x14ac:dyDescent="0.25">
      <c r="A82" t="s">
        <v>86</v>
      </c>
      <c r="B82" t="s">
        <v>909</v>
      </c>
      <c r="C82" s="1">
        <v>45822</v>
      </c>
      <c r="D82" s="1">
        <v>45867</v>
      </c>
      <c r="E82">
        <v>3736.92</v>
      </c>
      <c r="F82" t="s">
        <v>912</v>
      </c>
      <c r="G82" t="s">
        <v>916</v>
      </c>
      <c r="I82" t="s">
        <v>919</v>
      </c>
      <c r="J82" t="b">
        <f t="shared" si="7"/>
        <v>1</v>
      </c>
      <c r="K82" s="3">
        <f t="shared" ca="1" si="8"/>
        <v>229</v>
      </c>
      <c r="L82" s="3">
        <f t="shared" ca="1" si="9"/>
        <v>184</v>
      </c>
      <c r="M82" t="str">
        <f t="shared" ca="1" si="10"/>
        <v>Overdue</v>
      </c>
      <c r="N82">
        <f t="shared" si="12"/>
        <v>3736.92</v>
      </c>
      <c r="O82" t="str" cm="1">
        <f t="array" aca="1" ref="O82" ca="1">_xlfn.IFS(
L82&lt;=0,"Not Due",
L82&lt;=30,"0–30 Days",
L82&lt;=60,"31–60 Days",
L82&lt;=90,"61–90 Days",
L82&lt;=180,"91–180 Days",
L82&lt;=365,"181–365 Days",
L82&gt;365,"365+ Days (High Risk)"
)</f>
        <v>181–365 Days</v>
      </c>
      <c r="P82">
        <f t="shared" si="13"/>
        <v>0</v>
      </c>
      <c r="Q82" s="3">
        <f t="shared" ca="1" si="11"/>
        <v>3736.92</v>
      </c>
    </row>
    <row r="83" spans="1:17" x14ac:dyDescent="0.25">
      <c r="A83" t="s">
        <v>87</v>
      </c>
      <c r="B83" t="s">
        <v>910</v>
      </c>
      <c r="C83" s="1">
        <v>45518</v>
      </c>
      <c r="D83" s="1">
        <v>45563</v>
      </c>
      <c r="E83">
        <v>7917.43</v>
      </c>
      <c r="F83" t="s">
        <v>913</v>
      </c>
      <c r="G83" t="s">
        <v>918</v>
      </c>
      <c r="H83" s="1">
        <v>45563</v>
      </c>
      <c r="I83" t="s">
        <v>919</v>
      </c>
      <c r="J83" t="b">
        <f t="shared" si="7"/>
        <v>0</v>
      </c>
      <c r="K83" s="3">
        <f t="shared" ca="1" si="8"/>
        <v>45</v>
      </c>
      <c r="L83" s="3">
        <f t="shared" ca="1" si="9"/>
        <v>0</v>
      </c>
      <c r="M83" t="str">
        <f t="shared" ca="1" si="10"/>
        <v>On Time</v>
      </c>
      <c r="N83">
        <f t="shared" si="12"/>
        <v>0</v>
      </c>
      <c r="O83" t="str" cm="1">
        <f t="array" aca="1" ref="O83" ca="1">_xlfn.IFS(
L83&lt;=0,"Not Due",
L83&lt;=30,"0–30 Days",
L83&lt;=60,"31–60 Days",
L83&lt;=90,"61–90 Days",
L83&lt;=180,"91–180 Days",
L83&lt;=365,"181–365 Days",
L83&gt;365,"365+ Days (High Risk)"
)</f>
        <v>Not Due</v>
      </c>
      <c r="P83">
        <f t="shared" si="13"/>
        <v>7917.43</v>
      </c>
      <c r="Q83" s="3">
        <f t="shared" ca="1" si="11"/>
        <v>0</v>
      </c>
    </row>
    <row r="84" spans="1:17" x14ac:dyDescent="0.25">
      <c r="A84" t="s">
        <v>88</v>
      </c>
      <c r="B84" t="s">
        <v>909</v>
      </c>
      <c r="C84" s="1">
        <v>45511</v>
      </c>
      <c r="D84" s="1">
        <v>45556</v>
      </c>
      <c r="E84">
        <v>7325.37</v>
      </c>
      <c r="F84" t="s">
        <v>915</v>
      </c>
      <c r="G84" t="s">
        <v>916</v>
      </c>
      <c r="I84" t="s">
        <v>919</v>
      </c>
      <c r="J84" t="b">
        <f t="shared" si="7"/>
        <v>1</v>
      </c>
      <c r="K84" s="3">
        <f t="shared" ca="1" si="8"/>
        <v>540</v>
      </c>
      <c r="L84" s="3">
        <f t="shared" ca="1" si="9"/>
        <v>495</v>
      </c>
      <c r="M84" t="str">
        <f t="shared" ca="1" si="10"/>
        <v>Overdue</v>
      </c>
      <c r="N84">
        <f t="shared" si="12"/>
        <v>7325.37</v>
      </c>
      <c r="O84" t="str" cm="1">
        <f t="array" aca="1" ref="O84" ca="1">_xlfn.IFS(
L84&lt;=0,"Not Due",
L84&lt;=30,"0–30 Days",
L84&lt;=60,"31–60 Days",
L84&lt;=90,"61–90 Days",
L84&lt;=180,"91–180 Days",
L84&lt;=365,"181–365 Days",
L84&gt;365,"365+ Days (High Risk)"
)</f>
        <v>365+ Days (High Risk)</v>
      </c>
      <c r="P84">
        <f t="shared" si="13"/>
        <v>0</v>
      </c>
      <c r="Q84" s="3">
        <f t="shared" ca="1" si="11"/>
        <v>7325.37</v>
      </c>
    </row>
    <row r="85" spans="1:17" x14ac:dyDescent="0.25">
      <c r="A85" t="s">
        <v>89</v>
      </c>
      <c r="B85" t="s">
        <v>910</v>
      </c>
      <c r="C85" s="1">
        <v>45131</v>
      </c>
      <c r="D85" s="1">
        <v>45176</v>
      </c>
      <c r="E85">
        <v>3958.69</v>
      </c>
      <c r="F85" t="s">
        <v>915</v>
      </c>
      <c r="G85" t="s">
        <v>916</v>
      </c>
      <c r="I85" t="s">
        <v>919</v>
      </c>
      <c r="J85" t="b">
        <f t="shared" si="7"/>
        <v>1</v>
      </c>
      <c r="K85" s="3">
        <f t="shared" ca="1" si="8"/>
        <v>920</v>
      </c>
      <c r="L85" s="3">
        <f t="shared" ca="1" si="9"/>
        <v>875</v>
      </c>
      <c r="M85" t="str">
        <f t="shared" ca="1" si="10"/>
        <v>Overdue</v>
      </c>
      <c r="N85">
        <f t="shared" si="12"/>
        <v>3958.69</v>
      </c>
      <c r="O85" t="str" cm="1">
        <f t="array" aca="1" ref="O85" ca="1">_xlfn.IFS(
L85&lt;=0,"Not Due",
L85&lt;=30,"0–30 Days",
L85&lt;=60,"31–60 Days",
L85&lt;=90,"61–90 Days",
L85&lt;=180,"91–180 Days",
L85&lt;=365,"181–365 Days",
L85&gt;365,"365+ Days (High Risk)"
)</f>
        <v>365+ Days (High Risk)</v>
      </c>
      <c r="P85">
        <f t="shared" si="13"/>
        <v>0</v>
      </c>
      <c r="Q85" s="3">
        <f t="shared" ca="1" si="11"/>
        <v>3958.69</v>
      </c>
    </row>
    <row r="86" spans="1:17" x14ac:dyDescent="0.25">
      <c r="A86" t="s">
        <v>90</v>
      </c>
      <c r="B86" t="s">
        <v>909</v>
      </c>
      <c r="C86" s="1">
        <v>45464</v>
      </c>
      <c r="D86" s="1">
        <v>45509</v>
      </c>
      <c r="E86">
        <v>996.98</v>
      </c>
      <c r="F86" t="s">
        <v>915</v>
      </c>
      <c r="G86" t="s">
        <v>917</v>
      </c>
      <c r="I86" t="s">
        <v>919</v>
      </c>
      <c r="J86" t="b">
        <f t="shared" si="7"/>
        <v>1</v>
      </c>
      <c r="K86" s="3">
        <f t="shared" ca="1" si="8"/>
        <v>587</v>
      </c>
      <c r="L86" s="3">
        <f t="shared" ca="1" si="9"/>
        <v>542</v>
      </c>
      <c r="M86" t="str">
        <f t="shared" ca="1" si="10"/>
        <v>Overdue</v>
      </c>
      <c r="N86">
        <f t="shared" si="12"/>
        <v>996.98</v>
      </c>
      <c r="O86" t="str" cm="1">
        <f t="array" aca="1" ref="O86" ca="1">_xlfn.IFS(
L86&lt;=0,"Not Due",
L86&lt;=30,"0–30 Days",
L86&lt;=60,"31–60 Days",
L86&lt;=90,"61–90 Days",
L86&lt;=180,"91–180 Days",
L86&lt;=365,"181–365 Days",
L86&gt;365,"365+ Days (High Risk)"
)</f>
        <v>365+ Days (High Risk)</v>
      </c>
      <c r="P86">
        <f t="shared" si="13"/>
        <v>0</v>
      </c>
      <c r="Q86" s="3">
        <f t="shared" ca="1" si="11"/>
        <v>996.98</v>
      </c>
    </row>
    <row r="87" spans="1:17" x14ac:dyDescent="0.25">
      <c r="A87" t="s">
        <v>91</v>
      </c>
      <c r="B87" t="s">
        <v>909</v>
      </c>
      <c r="C87" s="1">
        <v>45142</v>
      </c>
      <c r="D87" s="1">
        <v>45187</v>
      </c>
      <c r="E87">
        <v>5165.8999999999996</v>
      </c>
      <c r="F87" t="s">
        <v>911</v>
      </c>
      <c r="G87" t="s">
        <v>916</v>
      </c>
      <c r="I87" t="s">
        <v>919</v>
      </c>
      <c r="J87" t="b">
        <f t="shared" si="7"/>
        <v>1</v>
      </c>
      <c r="K87" s="3">
        <f t="shared" ca="1" si="8"/>
        <v>909</v>
      </c>
      <c r="L87" s="3">
        <f t="shared" ca="1" si="9"/>
        <v>864</v>
      </c>
      <c r="M87" t="str">
        <f t="shared" ca="1" si="10"/>
        <v>Overdue</v>
      </c>
      <c r="N87">
        <f t="shared" si="12"/>
        <v>5165.8999999999996</v>
      </c>
      <c r="O87" t="str" cm="1">
        <f t="array" aca="1" ref="O87" ca="1">_xlfn.IFS(
L87&lt;=0,"Not Due",
L87&lt;=30,"0–30 Days",
L87&lt;=60,"31–60 Days",
L87&lt;=90,"61–90 Days",
L87&lt;=180,"91–180 Days",
L87&lt;=365,"181–365 Days",
L87&gt;365,"365+ Days (High Risk)"
)</f>
        <v>365+ Days (High Risk)</v>
      </c>
      <c r="P87">
        <f t="shared" si="13"/>
        <v>0</v>
      </c>
      <c r="Q87" s="3">
        <f t="shared" ca="1" si="11"/>
        <v>5165.8999999999996</v>
      </c>
    </row>
    <row r="88" spans="1:17" x14ac:dyDescent="0.25">
      <c r="A88" t="s">
        <v>92</v>
      </c>
      <c r="B88" t="s">
        <v>909</v>
      </c>
      <c r="C88" s="1">
        <v>45485</v>
      </c>
      <c r="D88" s="1">
        <v>45530</v>
      </c>
      <c r="E88">
        <v>6048.66</v>
      </c>
      <c r="F88" t="s">
        <v>912</v>
      </c>
      <c r="G88" t="s">
        <v>917</v>
      </c>
      <c r="I88" t="s">
        <v>919</v>
      </c>
      <c r="J88" t="b">
        <f t="shared" si="7"/>
        <v>1</v>
      </c>
      <c r="K88" s="3">
        <f t="shared" ca="1" si="8"/>
        <v>566</v>
      </c>
      <c r="L88" s="3">
        <f t="shared" ca="1" si="9"/>
        <v>521</v>
      </c>
      <c r="M88" t="str">
        <f t="shared" ca="1" si="10"/>
        <v>Overdue</v>
      </c>
      <c r="N88">
        <f t="shared" si="12"/>
        <v>6048.66</v>
      </c>
      <c r="O88" t="str" cm="1">
        <f t="array" aca="1" ref="O88" ca="1">_xlfn.IFS(
L88&lt;=0,"Not Due",
L88&lt;=30,"0–30 Days",
L88&lt;=60,"31–60 Days",
L88&lt;=90,"61–90 Days",
L88&lt;=180,"91–180 Days",
L88&lt;=365,"181–365 Days",
L88&gt;365,"365+ Days (High Risk)"
)</f>
        <v>365+ Days (High Risk)</v>
      </c>
      <c r="P88">
        <f t="shared" si="13"/>
        <v>0</v>
      </c>
      <c r="Q88" s="3">
        <f t="shared" ca="1" si="11"/>
        <v>6048.66</v>
      </c>
    </row>
    <row r="89" spans="1:17" x14ac:dyDescent="0.25">
      <c r="A89" t="s">
        <v>93</v>
      </c>
      <c r="B89" t="s">
        <v>906</v>
      </c>
      <c r="C89" s="1">
        <v>45276</v>
      </c>
      <c r="D89" s="1">
        <v>45321</v>
      </c>
      <c r="E89">
        <v>1217.8699999999999</v>
      </c>
      <c r="F89" t="s">
        <v>911</v>
      </c>
      <c r="G89" t="s">
        <v>918</v>
      </c>
      <c r="H89" s="1">
        <v>45321</v>
      </c>
      <c r="I89" t="s">
        <v>919</v>
      </c>
      <c r="J89" t="b">
        <f t="shared" si="7"/>
        <v>0</v>
      </c>
      <c r="K89" s="3">
        <f t="shared" ca="1" si="8"/>
        <v>45</v>
      </c>
      <c r="L89" s="3">
        <f t="shared" ca="1" si="9"/>
        <v>0</v>
      </c>
      <c r="M89" t="str">
        <f t="shared" ca="1" si="10"/>
        <v>On Time</v>
      </c>
      <c r="N89">
        <f t="shared" si="12"/>
        <v>0</v>
      </c>
      <c r="O89" t="str" cm="1">
        <f t="array" aca="1" ref="O89" ca="1">_xlfn.IFS(
L89&lt;=0,"Not Due",
L89&lt;=30,"0–30 Days",
L89&lt;=60,"31–60 Days",
L89&lt;=90,"61–90 Days",
L89&lt;=180,"91–180 Days",
L89&lt;=365,"181–365 Days",
L89&gt;365,"365+ Days (High Risk)"
)</f>
        <v>Not Due</v>
      </c>
      <c r="P89">
        <f t="shared" si="13"/>
        <v>1217.8699999999999</v>
      </c>
      <c r="Q89" s="3">
        <f t="shared" ca="1" si="11"/>
        <v>0</v>
      </c>
    </row>
    <row r="90" spans="1:17" x14ac:dyDescent="0.25">
      <c r="A90" t="s">
        <v>94</v>
      </c>
      <c r="B90" t="s">
        <v>909</v>
      </c>
      <c r="C90" s="1">
        <v>45380</v>
      </c>
      <c r="D90" s="1">
        <v>45425</v>
      </c>
      <c r="E90">
        <v>7578.16</v>
      </c>
      <c r="F90" t="s">
        <v>912</v>
      </c>
      <c r="G90" t="s">
        <v>916</v>
      </c>
      <c r="I90" t="s">
        <v>919</v>
      </c>
      <c r="J90" t="b">
        <f t="shared" si="7"/>
        <v>1</v>
      </c>
      <c r="K90" s="3">
        <f t="shared" ca="1" si="8"/>
        <v>671</v>
      </c>
      <c r="L90" s="3">
        <f t="shared" ca="1" si="9"/>
        <v>626</v>
      </c>
      <c r="M90" t="str">
        <f t="shared" ca="1" si="10"/>
        <v>Overdue</v>
      </c>
      <c r="N90">
        <f t="shared" si="12"/>
        <v>7578.16</v>
      </c>
      <c r="O90" t="str" cm="1">
        <f t="array" aca="1" ref="O90" ca="1">_xlfn.IFS(
L90&lt;=0,"Not Due",
L90&lt;=30,"0–30 Days",
L90&lt;=60,"31–60 Days",
L90&lt;=90,"61–90 Days",
L90&lt;=180,"91–180 Days",
L90&lt;=365,"181–365 Days",
L90&gt;365,"365+ Days (High Risk)"
)</f>
        <v>365+ Days (High Risk)</v>
      </c>
      <c r="P90">
        <f t="shared" si="13"/>
        <v>0</v>
      </c>
      <c r="Q90" s="3">
        <f t="shared" ca="1" si="11"/>
        <v>7578.16</v>
      </c>
    </row>
    <row r="91" spans="1:17" x14ac:dyDescent="0.25">
      <c r="A91" t="s">
        <v>95</v>
      </c>
      <c r="B91" t="s">
        <v>907</v>
      </c>
      <c r="C91" s="1">
        <v>45062</v>
      </c>
      <c r="D91" s="1">
        <v>45107</v>
      </c>
      <c r="E91">
        <v>2123.65</v>
      </c>
      <c r="F91" t="s">
        <v>913</v>
      </c>
      <c r="G91" t="s">
        <v>917</v>
      </c>
      <c r="I91" t="s">
        <v>919</v>
      </c>
      <c r="J91" t="b">
        <f t="shared" si="7"/>
        <v>1</v>
      </c>
      <c r="K91" s="3">
        <f t="shared" ca="1" si="8"/>
        <v>989</v>
      </c>
      <c r="L91" s="3">
        <f t="shared" ca="1" si="9"/>
        <v>944</v>
      </c>
      <c r="M91" t="str">
        <f t="shared" ca="1" si="10"/>
        <v>Overdue</v>
      </c>
      <c r="N91">
        <f t="shared" si="12"/>
        <v>2123.65</v>
      </c>
      <c r="O91" t="str" cm="1">
        <f t="array" aca="1" ref="O91" ca="1">_xlfn.IFS(
L91&lt;=0,"Not Due",
L91&lt;=30,"0–30 Days",
L91&lt;=60,"31–60 Days",
L91&lt;=90,"61–90 Days",
L91&lt;=180,"91–180 Days",
L91&lt;=365,"181–365 Days",
L91&gt;365,"365+ Days (High Risk)"
)</f>
        <v>365+ Days (High Risk)</v>
      </c>
      <c r="P91">
        <f t="shared" si="13"/>
        <v>0</v>
      </c>
      <c r="Q91" s="3">
        <f t="shared" ca="1" si="11"/>
        <v>2123.65</v>
      </c>
    </row>
    <row r="92" spans="1:17" x14ac:dyDescent="0.25">
      <c r="A92" t="s">
        <v>96</v>
      </c>
      <c r="B92" t="s">
        <v>908</v>
      </c>
      <c r="C92" s="1">
        <v>45349</v>
      </c>
      <c r="D92" s="1">
        <v>45394</v>
      </c>
      <c r="E92">
        <v>3260.89</v>
      </c>
      <c r="F92" t="s">
        <v>914</v>
      </c>
      <c r="G92" t="s">
        <v>918</v>
      </c>
      <c r="H92" s="1">
        <v>45394</v>
      </c>
      <c r="I92" t="s">
        <v>919</v>
      </c>
      <c r="J92" t="b">
        <f t="shared" si="7"/>
        <v>0</v>
      </c>
      <c r="K92" s="3">
        <f t="shared" ca="1" si="8"/>
        <v>45</v>
      </c>
      <c r="L92" s="3">
        <f t="shared" ca="1" si="9"/>
        <v>0</v>
      </c>
      <c r="M92" t="str">
        <f t="shared" ca="1" si="10"/>
        <v>On Time</v>
      </c>
      <c r="N92">
        <f t="shared" si="12"/>
        <v>0</v>
      </c>
      <c r="O92" t="str" cm="1">
        <f t="array" aca="1" ref="O92" ca="1">_xlfn.IFS(
L92&lt;=0,"Not Due",
L92&lt;=30,"0–30 Days",
L92&lt;=60,"31–60 Days",
L92&lt;=90,"61–90 Days",
L92&lt;=180,"91–180 Days",
L92&lt;=365,"181–365 Days",
L92&gt;365,"365+ Days (High Risk)"
)</f>
        <v>Not Due</v>
      </c>
      <c r="P92">
        <f t="shared" si="13"/>
        <v>3260.89</v>
      </c>
      <c r="Q92" s="3">
        <f t="shared" ca="1" si="11"/>
        <v>0</v>
      </c>
    </row>
    <row r="93" spans="1:17" x14ac:dyDescent="0.25">
      <c r="A93" t="s">
        <v>97</v>
      </c>
      <c r="B93" t="s">
        <v>906</v>
      </c>
      <c r="C93" s="1">
        <v>45665</v>
      </c>
      <c r="D93" s="1">
        <v>45710</v>
      </c>
      <c r="E93">
        <v>3764.75</v>
      </c>
      <c r="F93" t="s">
        <v>913</v>
      </c>
      <c r="G93" t="s">
        <v>917</v>
      </c>
      <c r="I93" t="s">
        <v>919</v>
      </c>
      <c r="J93" t="b">
        <f t="shared" si="7"/>
        <v>1</v>
      </c>
      <c r="K93" s="3">
        <f t="shared" ca="1" si="8"/>
        <v>386</v>
      </c>
      <c r="L93" s="3">
        <f t="shared" ca="1" si="9"/>
        <v>341</v>
      </c>
      <c r="M93" t="str">
        <f t="shared" ca="1" si="10"/>
        <v>Overdue</v>
      </c>
      <c r="N93">
        <f t="shared" si="12"/>
        <v>3764.75</v>
      </c>
      <c r="O93" t="str" cm="1">
        <f t="array" aca="1" ref="O93" ca="1">_xlfn.IFS(
L93&lt;=0,"Not Due",
L93&lt;=30,"0–30 Days",
L93&lt;=60,"31–60 Days",
L93&lt;=90,"61–90 Days",
L93&lt;=180,"91–180 Days",
L93&lt;=365,"181–365 Days",
L93&gt;365,"365+ Days (High Risk)"
)</f>
        <v>181–365 Days</v>
      </c>
      <c r="P93">
        <f t="shared" si="13"/>
        <v>0</v>
      </c>
      <c r="Q93" s="3">
        <f t="shared" ca="1" si="11"/>
        <v>3764.75</v>
      </c>
    </row>
    <row r="94" spans="1:17" x14ac:dyDescent="0.25">
      <c r="A94" t="s">
        <v>98</v>
      </c>
      <c r="B94" t="s">
        <v>910</v>
      </c>
      <c r="C94" s="1">
        <v>45741</v>
      </c>
      <c r="D94" s="1">
        <v>45786</v>
      </c>
      <c r="E94">
        <v>820.19</v>
      </c>
      <c r="F94" t="s">
        <v>912</v>
      </c>
      <c r="G94" t="s">
        <v>916</v>
      </c>
      <c r="I94" t="s">
        <v>919</v>
      </c>
      <c r="J94" t="b">
        <f t="shared" si="7"/>
        <v>1</v>
      </c>
      <c r="K94" s="3">
        <f t="shared" ca="1" si="8"/>
        <v>310</v>
      </c>
      <c r="L94" s="3">
        <f t="shared" ca="1" si="9"/>
        <v>265</v>
      </c>
      <c r="M94" t="str">
        <f t="shared" ca="1" si="10"/>
        <v>Overdue</v>
      </c>
      <c r="N94">
        <f t="shared" si="12"/>
        <v>820.19</v>
      </c>
      <c r="O94" t="str" cm="1">
        <f t="array" aca="1" ref="O94" ca="1">_xlfn.IFS(
L94&lt;=0,"Not Due",
L94&lt;=30,"0–30 Days",
L94&lt;=60,"31–60 Days",
L94&lt;=90,"61–90 Days",
L94&lt;=180,"91–180 Days",
L94&lt;=365,"181–365 Days",
L94&gt;365,"365+ Days (High Risk)"
)</f>
        <v>181–365 Days</v>
      </c>
      <c r="P94">
        <f t="shared" si="13"/>
        <v>0</v>
      </c>
      <c r="Q94" s="3">
        <f t="shared" ca="1" si="11"/>
        <v>820.19</v>
      </c>
    </row>
    <row r="95" spans="1:17" x14ac:dyDescent="0.25">
      <c r="A95" t="s">
        <v>99</v>
      </c>
      <c r="B95" t="s">
        <v>907</v>
      </c>
      <c r="C95" s="1">
        <v>45787</v>
      </c>
      <c r="D95" s="1">
        <v>45832</v>
      </c>
      <c r="E95">
        <v>5512.04</v>
      </c>
      <c r="F95" t="s">
        <v>912</v>
      </c>
      <c r="G95" t="s">
        <v>918</v>
      </c>
      <c r="H95" s="1">
        <v>45832</v>
      </c>
      <c r="I95" t="s">
        <v>919</v>
      </c>
      <c r="J95" t="b">
        <f t="shared" si="7"/>
        <v>0</v>
      </c>
      <c r="K95" s="3">
        <f t="shared" ca="1" si="8"/>
        <v>45</v>
      </c>
      <c r="L95" s="3">
        <f t="shared" ca="1" si="9"/>
        <v>0</v>
      </c>
      <c r="M95" t="str">
        <f t="shared" ca="1" si="10"/>
        <v>On Time</v>
      </c>
      <c r="N95">
        <f t="shared" si="12"/>
        <v>0</v>
      </c>
      <c r="O95" t="str" cm="1">
        <f t="array" aca="1" ref="O95" ca="1">_xlfn.IFS(
L95&lt;=0,"Not Due",
L95&lt;=30,"0–30 Days",
L95&lt;=60,"31–60 Days",
L95&lt;=90,"61–90 Days",
L95&lt;=180,"91–180 Days",
L95&lt;=365,"181–365 Days",
L95&gt;365,"365+ Days (High Risk)"
)</f>
        <v>Not Due</v>
      </c>
      <c r="P95">
        <f t="shared" si="13"/>
        <v>5512.04</v>
      </c>
      <c r="Q95" s="3">
        <f t="shared" ca="1" si="11"/>
        <v>0</v>
      </c>
    </row>
    <row r="96" spans="1:17" x14ac:dyDescent="0.25">
      <c r="A96" t="s">
        <v>100</v>
      </c>
      <c r="B96" t="s">
        <v>909</v>
      </c>
      <c r="C96" s="1">
        <v>45552</v>
      </c>
      <c r="D96" s="1">
        <v>45597</v>
      </c>
      <c r="E96">
        <v>3114.54</v>
      </c>
      <c r="F96" t="s">
        <v>912</v>
      </c>
      <c r="G96" t="s">
        <v>918</v>
      </c>
      <c r="H96" s="1">
        <v>45597</v>
      </c>
      <c r="I96" t="s">
        <v>919</v>
      </c>
      <c r="J96" t="b">
        <f t="shared" si="7"/>
        <v>0</v>
      </c>
      <c r="K96" s="3">
        <f t="shared" ca="1" si="8"/>
        <v>45</v>
      </c>
      <c r="L96" s="3">
        <f t="shared" ca="1" si="9"/>
        <v>0</v>
      </c>
      <c r="M96" t="str">
        <f t="shared" ca="1" si="10"/>
        <v>On Time</v>
      </c>
      <c r="N96">
        <f t="shared" si="12"/>
        <v>0</v>
      </c>
      <c r="O96" t="str" cm="1">
        <f t="array" aca="1" ref="O96" ca="1">_xlfn.IFS(
L96&lt;=0,"Not Due",
L96&lt;=30,"0–30 Days",
L96&lt;=60,"31–60 Days",
L96&lt;=90,"61–90 Days",
L96&lt;=180,"91–180 Days",
L96&lt;=365,"181–365 Days",
L96&gt;365,"365+ Days (High Risk)"
)</f>
        <v>Not Due</v>
      </c>
      <c r="P96">
        <f t="shared" si="13"/>
        <v>3114.54</v>
      </c>
      <c r="Q96" s="3">
        <f t="shared" ca="1" si="11"/>
        <v>0</v>
      </c>
    </row>
    <row r="97" spans="1:17" x14ac:dyDescent="0.25">
      <c r="A97" t="s">
        <v>101</v>
      </c>
      <c r="B97" t="s">
        <v>910</v>
      </c>
      <c r="C97" s="1">
        <v>45583</v>
      </c>
      <c r="D97" s="1">
        <v>45628</v>
      </c>
      <c r="E97">
        <v>2445.4899999999998</v>
      </c>
      <c r="F97" t="s">
        <v>915</v>
      </c>
      <c r="G97" t="s">
        <v>917</v>
      </c>
      <c r="I97" t="s">
        <v>919</v>
      </c>
      <c r="J97" t="b">
        <f t="shared" si="7"/>
        <v>1</v>
      </c>
      <c r="K97" s="3">
        <f t="shared" ca="1" si="8"/>
        <v>468</v>
      </c>
      <c r="L97" s="3">
        <f t="shared" ca="1" si="9"/>
        <v>423</v>
      </c>
      <c r="M97" t="str">
        <f t="shared" ca="1" si="10"/>
        <v>Overdue</v>
      </c>
      <c r="N97">
        <f t="shared" si="12"/>
        <v>2445.4899999999998</v>
      </c>
      <c r="O97" t="str" cm="1">
        <f t="array" aca="1" ref="O97" ca="1">_xlfn.IFS(
L97&lt;=0,"Not Due",
L97&lt;=30,"0–30 Days",
L97&lt;=60,"31–60 Days",
L97&lt;=90,"61–90 Days",
L97&lt;=180,"91–180 Days",
L97&lt;=365,"181–365 Days",
L97&gt;365,"365+ Days (High Risk)"
)</f>
        <v>365+ Days (High Risk)</v>
      </c>
      <c r="P97">
        <f t="shared" si="13"/>
        <v>0</v>
      </c>
      <c r="Q97" s="3">
        <f t="shared" ca="1" si="11"/>
        <v>2445.4899999999998</v>
      </c>
    </row>
    <row r="98" spans="1:17" x14ac:dyDescent="0.25">
      <c r="A98" t="s">
        <v>102</v>
      </c>
      <c r="B98" t="s">
        <v>909</v>
      </c>
      <c r="C98" s="1">
        <v>45273</v>
      </c>
      <c r="D98" s="1">
        <v>45318</v>
      </c>
      <c r="E98">
        <v>1998.78</v>
      </c>
      <c r="F98" t="s">
        <v>912</v>
      </c>
      <c r="G98" t="s">
        <v>916</v>
      </c>
      <c r="I98" t="s">
        <v>919</v>
      </c>
      <c r="J98" t="b">
        <f t="shared" si="7"/>
        <v>1</v>
      </c>
      <c r="K98" s="3">
        <f t="shared" ca="1" si="8"/>
        <v>778</v>
      </c>
      <c r="L98" s="3">
        <f t="shared" ca="1" si="9"/>
        <v>733</v>
      </c>
      <c r="M98" t="str">
        <f t="shared" ca="1" si="10"/>
        <v>Overdue</v>
      </c>
      <c r="N98">
        <f t="shared" si="12"/>
        <v>1998.78</v>
      </c>
      <c r="O98" t="str" cm="1">
        <f t="array" aca="1" ref="O98" ca="1">_xlfn.IFS(
L98&lt;=0,"Not Due",
L98&lt;=30,"0–30 Days",
L98&lt;=60,"31–60 Days",
L98&lt;=90,"61–90 Days",
L98&lt;=180,"91–180 Days",
L98&lt;=365,"181–365 Days",
L98&gt;365,"365+ Days (High Risk)"
)</f>
        <v>365+ Days (High Risk)</v>
      </c>
      <c r="P98">
        <f t="shared" si="13"/>
        <v>0</v>
      </c>
      <c r="Q98" s="3">
        <f t="shared" ca="1" si="11"/>
        <v>1998.78</v>
      </c>
    </row>
    <row r="99" spans="1:17" x14ac:dyDescent="0.25">
      <c r="A99" t="s">
        <v>103</v>
      </c>
      <c r="B99" t="s">
        <v>907</v>
      </c>
      <c r="C99" s="1">
        <v>45285</v>
      </c>
      <c r="D99" s="1">
        <v>45330</v>
      </c>
      <c r="E99">
        <v>3998.83</v>
      </c>
      <c r="F99" t="s">
        <v>915</v>
      </c>
      <c r="G99" t="s">
        <v>917</v>
      </c>
      <c r="I99" t="s">
        <v>919</v>
      </c>
      <c r="J99" t="b">
        <f t="shared" si="7"/>
        <v>1</v>
      </c>
      <c r="K99" s="3">
        <f t="shared" ca="1" si="8"/>
        <v>766</v>
      </c>
      <c r="L99" s="3">
        <f t="shared" ca="1" si="9"/>
        <v>721</v>
      </c>
      <c r="M99" t="str">
        <f t="shared" ca="1" si="10"/>
        <v>Overdue</v>
      </c>
      <c r="N99">
        <f t="shared" si="12"/>
        <v>3998.83</v>
      </c>
      <c r="O99" t="str" cm="1">
        <f t="array" aca="1" ref="O99" ca="1">_xlfn.IFS(
L99&lt;=0,"Not Due",
L99&lt;=30,"0–30 Days",
L99&lt;=60,"31–60 Days",
L99&lt;=90,"61–90 Days",
L99&lt;=180,"91–180 Days",
L99&lt;=365,"181–365 Days",
L99&gt;365,"365+ Days (High Risk)"
)</f>
        <v>365+ Days (High Risk)</v>
      </c>
      <c r="P99">
        <f t="shared" si="13"/>
        <v>0</v>
      </c>
      <c r="Q99" s="3">
        <f t="shared" ca="1" si="11"/>
        <v>3998.83</v>
      </c>
    </row>
    <row r="100" spans="1:17" x14ac:dyDescent="0.25">
      <c r="A100" t="s">
        <v>104</v>
      </c>
      <c r="B100" t="s">
        <v>909</v>
      </c>
      <c r="C100" s="1">
        <v>45143</v>
      </c>
      <c r="D100" s="1">
        <v>45188</v>
      </c>
      <c r="E100">
        <v>7583.72</v>
      </c>
      <c r="F100" t="s">
        <v>912</v>
      </c>
      <c r="G100" t="s">
        <v>917</v>
      </c>
      <c r="I100" t="s">
        <v>919</v>
      </c>
      <c r="J100" t="b">
        <f t="shared" si="7"/>
        <v>1</v>
      </c>
      <c r="K100" s="3">
        <f t="shared" ca="1" si="8"/>
        <v>908</v>
      </c>
      <c r="L100" s="3">
        <f t="shared" ca="1" si="9"/>
        <v>863</v>
      </c>
      <c r="M100" t="str">
        <f t="shared" ca="1" si="10"/>
        <v>Overdue</v>
      </c>
      <c r="N100">
        <f t="shared" si="12"/>
        <v>7583.72</v>
      </c>
      <c r="O100" t="str" cm="1">
        <f t="array" aca="1" ref="O100" ca="1">_xlfn.IFS(
L100&lt;=0,"Not Due",
L100&lt;=30,"0–30 Days",
L100&lt;=60,"31–60 Days",
L100&lt;=90,"61–90 Days",
L100&lt;=180,"91–180 Days",
L100&lt;=365,"181–365 Days",
L100&gt;365,"365+ Days (High Risk)"
)</f>
        <v>365+ Days (High Risk)</v>
      </c>
      <c r="P100">
        <f t="shared" si="13"/>
        <v>0</v>
      </c>
      <c r="Q100" s="3">
        <f t="shared" ca="1" si="11"/>
        <v>7583.72</v>
      </c>
    </row>
    <row r="101" spans="1:17" x14ac:dyDescent="0.25">
      <c r="A101" t="s">
        <v>105</v>
      </c>
      <c r="B101" t="s">
        <v>910</v>
      </c>
      <c r="C101" s="1">
        <v>45017</v>
      </c>
      <c r="D101" s="1">
        <v>45062</v>
      </c>
      <c r="E101">
        <v>962.46</v>
      </c>
      <c r="F101" t="s">
        <v>914</v>
      </c>
      <c r="G101" t="s">
        <v>917</v>
      </c>
      <c r="I101" t="s">
        <v>919</v>
      </c>
      <c r="J101" t="b">
        <f t="shared" si="7"/>
        <v>1</v>
      </c>
      <c r="K101" s="3">
        <f t="shared" ca="1" si="8"/>
        <v>1034</v>
      </c>
      <c r="L101" s="3">
        <f t="shared" ca="1" si="9"/>
        <v>989</v>
      </c>
      <c r="M101" t="str">
        <f t="shared" ca="1" si="10"/>
        <v>Overdue</v>
      </c>
      <c r="N101">
        <f t="shared" si="12"/>
        <v>962.46</v>
      </c>
      <c r="O101" t="str" cm="1">
        <f t="array" aca="1" ref="O101" ca="1">_xlfn.IFS(
L101&lt;=0,"Not Due",
L101&lt;=30,"0–30 Days",
L101&lt;=60,"31–60 Days",
L101&lt;=90,"61–90 Days",
L101&lt;=180,"91–180 Days",
L101&lt;=365,"181–365 Days",
L101&gt;365,"365+ Days (High Risk)"
)</f>
        <v>365+ Days (High Risk)</v>
      </c>
      <c r="P101">
        <f t="shared" si="13"/>
        <v>0</v>
      </c>
      <c r="Q101" s="3">
        <f t="shared" ca="1" si="11"/>
        <v>962.46</v>
      </c>
    </row>
    <row r="102" spans="1:17" x14ac:dyDescent="0.25">
      <c r="A102" t="s">
        <v>106</v>
      </c>
      <c r="B102" t="s">
        <v>908</v>
      </c>
      <c r="C102" s="1">
        <v>45375</v>
      </c>
      <c r="D102" s="1">
        <v>45420</v>
      </c>
      <c r="E102">
        <v>2924.69</v>
      </c>
      <c r="F102" t="s">
        <v>914</v>
      </c>
      <c r="G102" t="s">
        <v>917</v>
      </c>
      <c r="I102" t="s">
        <v>919</v>
      </c>
      <c r="J102" t="b">
        <f t="shared" si="7"/>
        <v>1</v>
      </c>
      <c r="K102" s="3">
        <f t="shared" ca="1" si="8"/>
        <v>676</v>
      </c>
      <c r="L102" s="3">
        <f t="shared" ca="1" si="9"/>
        <v>631</v>
      </c>
      <c r="M102" t="str">
        <f t="shared" ca="1" si="10"/>
        <v>Overdue</v>
      </c>
      <c r="N102">
        <f t="shared" si="12"/>
        <v>2924.69</v>
      </c>
      <c r="O102" t="str" cm="1">
        <f t="array" aca="1" ref="O102" ca="1">_xlfn.IFS(
L102&lt;=0,"Not Due",
L102&lt;=30,"0–30 Days",
L102&lt;=60,"31–60 Days",
L102&lt;=90,"61–90 Days",
L102&lt;=180,"91–180 Days",
L102&lt;=365,"181–365 Days",
L102&gt;365,"365+ Days (High Risk)"
)</f>
        <v>365+ Days (High Risk)</v>
      </c>
      <c r="P102">
        <f t="shared" si="13"/>
        <v>0</v>
      </c>
      <c r="Q102" s="3">
        <f t="shared" ca="1" si="11"/>
        <v>2924.69</v>
      </c>
    </row>
    <row r="103" spans="1:17" x14ac:dyDescent="0.25">
      <c r="A103" t="s">
        <v>107</v>
      </c>
      <c r="B103" t="s">
        <v>908</v>
      </c>
      <c r="C103" s="1">
        <v>45189</v>
      </c>
      <c r="D103" s="1">
        <v>45234</v>
      </c>
      <c r="E103">
        <v>4442.67</v>
      </c>
      <c r="F103" t="s">
        <v>912</v>
      </c>
      <c r="G103" t="s">
        <v>917</v>
      </c>
      <c r="I103" t="s">
        <v>919</v>
      </c>
      <c r="J103" t="b">
        <f t="shared" si="7"/>
        <v>1</v>
      </c>
      <c r="K103" s="3">
        <f t="shared" ca="1" si="8"/>
        <v>862</v>
      </c>
      <c r="L103" s="3">
        <f t="shared" ca="1" si="9"/>
        <v>817</v>
      </c>
      <c r="M103" t="str">
        <f t="shared" ca="1" si="10"/>
        <v>Overdue</v>
      </c>
      <c r="N103">
        <f t="shared" si="12"/>
        <v>4442.67</v>
      </c>
      <c r="O103" t="str" cm="1">
        <f t="array" aca="1" ref="O103" ca="1">_xlfn.IFS(
L103&lt;=0,"Not Due",
L103&lt;=30,"0–30 Days",
L103&lt;=60,"31–60 Days",
L103&lt;=90,"61–90 Days",
L103&lt;=180,"91–180 Days",
L103&lt;=365,"181–365 Days",
L103&gt;365,"365+ Days (High Risk)"
)</f>
        <v>365+ Days (High Risk)</v>
      </c>
      <c r="P103">
        <f t="shared" si="13"/>
        <v>0</v>
      </c>
      <c r="Q103" s="3">
        <f t="shared" ca="1" si="11"/>
        <v>4442.67</v>
      </c>
    </row>
    <row r="104" spans="1:17" x14ac:dyDescent="0.25">
      <c r="A104" t="s">
        <v>108</v>
      </c>
      <c r="B104" t="s">
        <v>906</v>
      </c>
      <c r="C104" s="1">
        <v>45825</v>
      </c>
      <c r="D104" s="1">
        <v>45870</v>
      </c>
      <c r="E104">
        <v>1643.11</v>
      </c>
      <c r="F104" t="s">
        <v>914</v>
      </c>
      <c r="G104" t="s">
        <v>918</v>
      </c>
      <c r="H104" s="1">
        <v>45870</v>
      </c>
      <c r="I104" t="s">
        <v>919</v>
      </c>
      <c r="J104" t="b">
        <f t="shared" si="7"/>
        <v>0</v>
      </c>
      <c r="K104" s="3">
        <f t="shared" ca="1" si="8"/>
        <v>45</v>
      </c>
      <c r="L104" s="3">
        <f t="shared" ca="1" si="9"/>
        <v>0</v>
      </c>
      <c r="M104" t="str">
        <f t="shared" ca="1" si="10"/>
        <v>On Time</v>
      </c>
      <c r="N104">
        <f t="shared" si="12"/>
        <v>0</v>
      </c>
      <c r="O104" t="str" cm="1">
        <f t="array" aca="1" ref="O104" ca="1">_xlfn.IFS(
L104&lt;=0,"Not Due",
L104&lt;=30,"0–30 Days",
L104&lt;=60,"31–60 Days",
L104&lt;=90,"61–90 Days",
L104&lt;=180,"91–180 Days",
L104&lt;=365,"181–365 Days",
L104&gt;365,"365+ Days (High Risk)"
)</f>
        <v>Not Due</v>
      </c>
      <c r="P104">
        <f t="shared" si="13"/>
        <v>1643.11</v>
      </c>
      <c r="Q104" s="3">
        <f t="shared" ca="1" si="11"/>
        <v>0</v>
      </c>
    </row>
    <row r="105" spans="1:17" x14ac:dyDescent="0.25">
      <c r="A105" t="s">
        <v>109</v>
      </c>
      <c r="B105" t="s">
        <v>908</v>
      </c>
      <c r="C105" s="1">
        <v>44950</v>
      </c>
      <c r="D105" s="1">
        <v>44995</v>
      </c>
      <c r="E105">
        <v>779.56</v>
      </c>
      <c r="F105" t="s">
        <v>911</v>
      </c>
      <c r="G105" t="s">
        <v>916</v>
      </c>
      <c r="I105" t="s">
        <v>919</v>
      </c>
      <c r="J105" t="b">
        <f t="shared" si="7"/>
        <v>1</v>
      </c>
      <c r="K105" s="3">
        <f t="shared" ca="1" si="8"/>
        <v>1101</v>
      </c>
      <c r="L105" s="3">
        <f t="shared" ca="1" si="9"/>
        <v>1056</v>
      </c>
      <c r="M105" t="str">
        <f t="shared" ca="1" si="10"/>
        <v>Overdue</v>
      </c>
      <c r="N105">
        <f t="shared" si="12"/>
        <v>779.56</v>
      </c>
      <c r="O105" t="str" cm="1">
        <f t="array" aca="1" ref="O105" ca="1">_xlfn.IFS(
L105&lt;=0,"Not Due",
L105&lt;=30,"0–30 Days",
L105&lt;=60,"31–60 Days",
L105&lt;=90,"61–90 Days",
L105&lt;=180,"91–180 Days",
L105&lt;=365,"181–365 Days",
L105&gt;365,"365+ Days (High Risk)"
)</f>
        <v>365+ Days (High Risk)</v>
      </c>
      <c r="P105">
        <f t="shared" si="13"/>
        <v>0</v>
      </c>
      <c r="Q105" s="3">
        <f t="shared" ca="1" si="11"/>
        <v>779.56</v>
      </c>
    </row>
    <row r="106" spans="1:17" x14ac:dyDescent="0.25">
      <c r="A106" t="s">
        <v>110</v>
      </c>
      <c r="B106" t="s">
        <v>906</v>
      </c>
      <c r="C106" s="1">
        <v>45244</v>
      </c>
      <c r="D106" s="1">
        <v>45289</v>
      </c>
      <c r="E106">
        <v>546.16</v>
      </c>
      <c r="F106" t="s">
        <v>913</v>
      </c>
      <c r="G106" t="s">
        <v>917</v>
      </c>
      <c r="I106" t="s">
        <v>919</v>
      </c>
      <c r="J106" t="b">
        <f t="shared" si="7"/>
        <v>1</v>
      </c>
      <c r="K106" s="3">
        <f t="shared" ca="1" si="8"/>
        <v>807</v>
      </c>
      <c r="L106" s="3">
        <f t="shared" ca="1" si="9"/>
        <v>762</v>
      </c>
      <c r="M106" t="str">
        <f t="shared" ca="1" si="10"/>
        <v>Overdue</v>
      </c>
      <c r="N106">
        <f t="shared" si="12"/>
        <v>546.16</v>
      </c>
      <c r="O106" t="str" cm="1">
        <f t="array" aca="1" ref="O106" ca="1">_xlfn.IFS(
L106&lt;=0,"Not Due",
L106&lt;=30,"0–30 Days",
L106&lt;=60,"31–60 Days",
L106&lt;=90,"61–90 Days",
L106&lt;=180,"91–180 Days",
L106&lt;=365,"181–365 Days",
L106&gt;365,"365+ Days (High Risk)"
)</f>
        <v>365+ Days (High Risk)</v>
      </c>
      <c r="P106">
        <f t="shared" si="13"/>
        <v>0</v>
      </c>
      <c r="Q106" s="3">
        <f t="shared" ca="1" si="11"/>
        <v>546.16</v>
      </c>
    </row>
    <row r="107" spans="1:17" x14ac:dyDescent="0.25">
      <c r="A107" t="s">
        <v>111</v>
      </c>
      <c r="B107" t="s">
        <v>910</v>
      </c>
      <c r="C107" s="1">
        <v>45553</v>
      </c>
      <c r="D107" s="1">
        <v>45598</v>
      </c>
      <c r="E107">
        <v>7954.05</v>
      </c>
      <c r="F107" t="s">
        <v>914</v>
      </c>
      <c r="G107" t="s">
        <v>917</v>
      </c>
      <c r="I107" t="s">
        <v>919</v>
      </c>
      <c r="J107" t="b">
        <f t="shared" si="7"/>
        <v>1</v>
      </c>
      <c r="K107" s="3">
        <f t="shared" ca="1" si="8"/>
        <v>498</v>
      </c>
      <c r="L107" s="3">
        <f t="shared" ca="1" si="9"/>
        <v>453</v>
      </c>
      <c r="M107" t="str">
        <f t="shared" ca="1" si="10"/>
        <v>Overdue</v>
      </c>
      <c r="N107">
        <f t="shared" si="12"/>
        <v>7954.05</v>
      </c>
      <c r="O107" t="str" cm="1">
        <f t="array" aca="1" ref="O107" ca="1">_xlfn.IFS(
L107&lt;=0,"Not Due",
L107&lt;=30,"0–30 Days",
L107&lt;=60,"31–60 Days",
L107&lt;=90,"61–90 Days",
L107&lt;=180,"91–180 Days",
L107&lt;=365,"181–365 Days",
L107&gt;365,"365+ Days (High Risk)"
)</f>
        <v>365+ Days (High Risk)</v>
      </c>
      <c r="P107">
        <f t="shared" si="13"/>
        <v>0</v>
      </c>
      <c r="Q107" s="3">
        <f t="shared" ca="1" si="11"/>
        <v>7954.05</v>
      </c>
    </row>
    <row r="108" spans="1:17" x14ac:dyDescent="0.25">
      <c r="A108" t="s">
        <v>112</v>
      </c>
      <c r="B108" t="s">
        <v>907</v>
      </c>
      <c r="C108" s="1">
        <v>45543</v>
      </c>
      <c r="D108" s="1">
        <v>45588</v>
      </c>
      <c r="E108">
        <v>3639.68</v>
      </c>
      <c r="F108" t="s">
        <v>914</v>
      </c>
      <c r="G108" t="s">
        <v>917</v>
      </c>
      <c r="I108" t="s">
        <v>919</v>
      </c>
      <c r="J108" t="b">
        <f t="shared" si="7"/>
        <v>1</v>
      </c>
      <c r="K108" s="3">
        <f t="shared" ca="1" si="8"/>
        <v>508</v>
      </c>
      <c r="L108" s="3">
        <f t="shared" ca="1" si="9"/>
        <v>463</v>
      </c>
      <c r="M108" t="str">
        <f t="shared" ca="1" si="10"/>
        <v>Overdue</v>
      </c>
      <c r="N108">
        <f t="shared" si="12"/>
        <v>3639.68</v>
      </c>
      <c r="O108" t="str" cm="1">
        <f t="array" aca="1" ref="O108" ca="1">_xlfn.IFS(
L108&lt;=0,"Not Due",
L108&lt;=30,"0–30 Days",
L108&lt;=60,"31–60 Days",
L108&lt;=90,"61–90 Days",
L108&lt;=180,"91–180 Days",
L108&lt;=365,"181–365 Days",
L108&gt;365,"365+ Days (High Risk)"
)</f>
        <v>365+ Days (High Risk)</v>
      </c>
      <c r="P108">
        <f t="shared" si="13"/>
        <v>0</v>
      </c>
      <c r="Q108" s="3">
        <f t="shared" ca="1" si="11"/>
        <v>3639.68</v>
      </c>
    </row>
    <row r="109" spans="1:17" x14ac:dyDescent="0.25">
      <c r="A109" t="s">
        <v>113</v>
      </c>
      <c r="B109" t="s">
        <v>910</v>
      </c>
      <c r="C109" s="1">
        <v>45831</v>
      </c>
      <c r="D109" s="1">
        <v>45876</v>
      </c>
      <c r="E109">
        <v>7625.21</v>
      </c>
      <c r="F109" t="s">
        <v>915</v>
      </c>
      <c r="G109" t="s">
        <v>916</v>
      </c>
      <c r="I109" t="s">
        <v>919</v>
      </c>
      <c r="J109" t="b">
        <f t="shared" si="7"/>
        <v>1</v>
      </c>
      <c r="K109" s="3">
        <f t="shared" ca="1" si="8"/>
        <v>220</v>
      </c>
      <c r="L109" s="3">
        <f t="shared" ca="1" si="9"/>
        <v>175</v>
      </c>
      <c r="M109" t="str">
        <f t="shared" ca="1" si="10"/>
        <v>Overdue</v>
      </c>
      <c r="N109">
        <f t="shared" si="12"/>
        <v>7625.21</v>
      </c>
      <c r="O109" t="str" cm="1">
        <f t="array" aca="1" ref="O109" ca="1">_xlfn.IFS(
L109&lt;=0,"Not Due",
L109&lt;=30,"0–30 Days",
L109&lt;=60,"31–60 Days",
L109&lt;=90,"61–90 Days",
L109&lt;=180,"91–180 Days",
L109&lt;=365,"181–365 Days",
L109&gt;365,"365+ Days (High Risk)"
)</f>
        <v>91–180 Days</v>
      </c>
      <c r="P109">
        <f t="shared" si="13"/>
        <v>0</v>
      </c>
      <c r="Q109" s="3">
        <f t="shared" ca="1" si="11"/>
        <v>7625.21</v>
      </c>
    </row>
    <row r="110" spans="1:17" x14ac:dyDescent="0.25">
      <c r="A110" t="s">
        <v>114</v>
      </c>
      <c r="B110" t="s">
        <v>910</v>
      </c>
      <c r="C110" s="1">
        <v>45358</v>
      </c>
      <c r="D110" s="1">
        <v>45403</v>
      </c>
      <c r="E110">
        <v>1585.28</v>
      </c>
      <c r="F110" t="s">
        <v>914</v>
      </c>
      <c r="G110" t="s">
        <v>916</v>
      </c>
      <c r="I110" t="s">
        <v>919</v>
      </c>
      <c r="J110" t="b">
        <f t="shared" si="7"/>
        <v>1</v>
      </c>
      <c r="K110" s="3">
        <f t="shared" ca="1" si="8"/>
        <v>693</v>
      </c>
      <c r="L110" s="3">
        <f t="shared" ca="1" si="9"/>
        <v>648</v>
      </c>
      <c r="M110" t="str">
        <f t="shared" ca="1" si="10"/>
        <v>Overdue</v>
      </c>
      <c r="N110">
        <f t="shared" si="12"/>
        <v>1585.28</v>
      </c>
      <c r="O110" t="str" cm="1">
        <f t="array" aca="1" ref="O110" ca="1">_xlfn.IFS(
L110&lt;=0,"Not Due",
L110&lt;=30,"0–30 Days",
L110&lt;=60,"31–60 Days",
L110&lt;=90,"61–90 Days",
L110&lt;=180,"91–180 Days",
L110&lt;=365,"181–365 Days",
L110&gt;365,"365+ Days (High Risk)"
)</f>
        <v>365+ Days (High Risk)</v>
      </c>
      <c r="P110">
        <f t="shared" si="13"/>
        <v>0</v>
      </c>
      <c r="Q110" s="3">
        <f t="shared" ca="1" si="11"/>
        <v>1585.28</v>
      </c>
    </row>
    <row r="111" spans="1:17" x14ac:dyDescent="0.25">
      <c r="A111" t="s">
        <v>115</v>
      </c>
      <c r="B111" t="s">
        <v>909</v>
      </c>
      <c r="C111" s="1">
        <v>45590</v>
      </c>
      <c r="D111" s="1">
        <v>45635</v>
      </c>
      <c r="E111">
        <v>839.17</v>
      </c>
      <c r="F111" t="s">
        <v>915</v>
      </c>
      <c r="G111" t="s">
        <v>917</v>
      </c>
      <c r="I111" t="s">
        <v>919</v>
      </c>
      <c r="J111" t="b">
        <f t="shared" si="7"/>
        <v>1</v>
      </c>
      <c r="K111" s="3">
        <f t="shared" ca="1" si="8"/>
        <v>461</v>
      </c>
      <c r="L111" s="3">
        <f t="shared" ca="1" si="9"/>
        <v>416</v>
      </c>
      <c r="M111" t="str">
        <f t="shared" ca="1" si="10"/>
        <v>Overdue</v>
      </c>
      <c r="N111">
        <f t="shared" si="12"/>
        <v>839.17</v>
      </c>
      <c r="O111" t="str" cm="1">
        <f t="array" aca="1" ref="O111" ca="1">_xlfn.IFS(
L111&lt;=0,"Not Due",
L111&lt;=30,"0–30 Days",
L111&lt;=60,"31–60 Days",
L111&lt;=90,"61–90 Days",
L111&lt;=180,"91–180 Days",
L111&lt;=365,"181–365 Days",
L111&gt;365,"365+ Days (High Risk)"
)</f>
        <v>365+ Days (High Risk)</v>
      </c>
      <c r="P111">
        <f t="shared" si="13"/>
        <v>0</v>
      </c>
      <c r="Q111" s="3">
        <f t="shared" ca="1" si="11"/>
        <v>839.17</v>
      </c>
    </row>
    <row r="112" spans="1:17" x14ac:dyDescent="0.25">
      <c r="A112" t="s">
        <v>116</v>
      </c>
      <c r="B112" t="s">
        <v>908</v>
      </c>
      <c r="C112" s="1">
        <v>45704</v>
      </c>
      <c r="D112" s="1">
        <v>45749</v>
      </c>
      <c r="E112">
        <v>3881.62</v>
      </c>
      <c r="F112" t="s">
        <v>912</v>
      </c>
      <c r="G112" t="s">
        <v>917</v>
      </c>
      <c r="I112" t="s">
        <v>919</v>
      </c>
      <c r="J112" t="b">
        <f t="shared" si="7"/>
        <v>1</v>
      </c>
      <c r="K112" s="3">
        <f t="shared" ca="1" si="8"/>
        <v>347</v>
      </c>
      <c r="L112" s="3">
        <f t="shared" ca="1" si="9"/>
        <v>302</v>
      </c>
      <c r="M112" t="str">
        <f t="shared" ca="1" si="10"/>
        <v>Overdue</v>
      </c>
      <c r="N112">
        <f t="shared" si="12"/>
        <v>3881.62</v>
      </c>
      <c r="O112" t="str" cm="1">
        <f t="array" aca="1" ref="O112" ca="1">_xlfn.IFS(
L112&lt;=0,"Not Due",
L112&lt;=30,"0–30 Days",
L112&lt;=60,"31–60 Days",
L112&lt;=90,"61–90 Days",
L112&lt;=180,"91–180 Days",
L112&lt;=365,"181–365 Days",
L112&gt;365,"365+ Days (High Risk)"
)</f>
        <v>181–365 Days</v>
      </c>
      <c r="P112">
        <f t="shared" si="13"/>
        <v>0</v>
      </c>
      <c r="Q112" s="3">
        <f t="shared" ca="1" si="11"/>
        <v>3881.62</v>
      </c>
    </row>
    <row r="113" spans="1:17" x14ac:dyDescent="0.25">
      <c r="A113" t="s">
        <v>117</v>
      </c>
      <c r="B113" t="s">
        <v>908</v>
      </c>
      <c r="C113" s="1">
        <v>45113</v>
      </c>
      <c r="D113" s="1">
        <v>45158</v>
      </c>
      <c r="E113">
        <v>7797.4</v>
      </c>
      <c r="F113" t="s">
        <v>914</v>
      </c>
      <c r="G113" t="s">
        <v>917</v>
      </c>
      <c r="I113" t="s">
        <v>919</v>
      </c>
      <c r="J113" t="b">
        <f t="shared" si="7"/>
        <v>1</v>
      </c>
      <c r="K113" s="3">
        <f t="shared" ca="1" si="8"/>
        <v>938</v>
      </c>
      <c r="L113" s="3">
        <f t="shared" ca="1" si="9"/>
        <v>893</v>
      </c>
      <c r="M113" t="str">
        <f t="shared" ca="1" si="10"/>
        <v>Overdue</v>
      </c>
      <c r="N113">
        <f t="shared" si="12"/>
        <v>7797.4</v>
      </c>
      <c r="O113" t="str" cm="1">
        <f t="array" aca="1" ref="O113" ca="1">_xlfn.IFS(
L113&lt;=0,"Not Due",
L113&lt;=30,"0–30 Days",
L113&lt;=60,"31–60 Days",
L113&lt;=90,"61–90 Days",
L113&lt;=180,"91–180 Days",
L113&lt;=365,"181–365 Days",
L113&gt;365,"365+ Days (High Risk)"
)</f>
        <v>365+ Days (High Risk)</v>
      </c>
      <c r="P113">
        <f t="shared" si="13"/>
        <v>0</v>
      </c>
      <c r="Q113" s="3">
        <f t="shared" ca="1" si="11"/>
        <v>7797.4</v>
      </c>
    </row>
    <row r="114" spans="1:17" x14ac:dyDescent="0.25">
      <c r="A114" t="s">
        <v>118</v>
      </c>
      <c r="B114" t="s">
        <v>909</v>
      </c>
      <c r="C114" s="1">
        <v>45404</v>
      </c>
      <c r="D114" s="1">
        <v>45449</v>
      </c>
      <c r="E114">
        <v>3488.89</v>
      </c>
      <c r="F114" t="s">
        <v>911</v>
      </c>
      <c r="G114" t="s">
        <v>918</v>
      </c>
      <c r="H114" s="1">
        <v>45449</v>
      </c>
      <c r="I114" t="s">
        <v>919</v>
      </c>
      <c r="J114" t="b">
        <f t="shared" si="7"/>
        <v>0</v>
      </c>
      <c r="K114" s="3">
        <f t="shared" ca="1" si="8"/>
        <v>45</v>
      </c>
      <c r="L114" s="3">
        <f t="shared" ca="1" si="9"/>
        <v>0</v>
      </c>
      <c r="M114" t="str">
        <f t="shared" ca="1" si="10"/>
        <v>On Time</v>
      </c>
      <c r="N114">
        <f t="shared" si="12"/>
        <v>0</v>
      </c>
      <c r="O114" t="str" cm="1">
        <f t="array" aca="1" ref="O114" ca="1">_xlfn.IFS(
L114&lt;=0,"Not Due",
L114&lt;=30,"0–30 Days",
L114&lt;=60,"31–60 Days",
L114&lt;=90,"61–90 Days",
L114&lt;=180,"91–180 Days",
L114&lt;=365,"181–365 Days",
L114&gt;365,"365+ Days (High Risk)"
)</f>
        <v>Not Due</v>
      </c>
      <c r="P114">
        <f t="shared" si="13"/>
        <v>3488.89</v>
      </c>
      <c r="Q114" s="3">
        <f t="shared" ca="1" si="11"/>
        <v>0</v>
      </c>
    </row>
    <row r="115" spans="1:17" x14ac:dyDescent="0.25">
      <c r="A115" t="s">
        <v>119</v>
      </c>
      <c r="B115" t="s">
        <v>907</v>
      </c>
      <c r="C115" s="1">
        <v>45330</v>
      </c>
      <c r="D115" s="1">
        <v>45375</v>
      </c>
      <c r="E115">
        <v>2014.85</v>
      </c>
      <c r="F115" t="s">
        <v>914</v>
      </c>
      <c r="G115" t="s">
        <v>916</v>
      </c>
      <c r="I115" t="s">
        <v>919</v>
      </c>
      <c r="J115" t="b">
        <f t="shared" si="7"/>
        <v>1</v>
      </c>
      <c r="K115" s="3">
        <f t="shared" ca="1" si="8"/>
        <v>721</v>
      </c>
      <c r="L115" s="3">
        <f t="shared" ca="1" si="9"/>
        <v>676</v>
      </c>
      <c r="M115" t="str">
        <f t="shared" ca="1" si="10"/>
        <v>Overdue</v>
      </c>
      <c r="N115">
        <f t="shared" si="12"/>
        <v>2014.85</v>
      </c>
      <c r="O115" t="str" cm="1">
        <f t="array" aca="1" ref="O115" ca="1">_xlfn.IFS(
L115&lt;=0,"Not Due",
L115&lt;=30,"0–30 Days",
L115&lt;=60,"31–60 Days",
L115&lt;=90,"61–90 Days",
L115&lt;=180,"91–180 Days",
L115&lt;=365,"181–365 Days",
L115&gt;365,"365+ Days (High Risk)"
)</f>
        <v>365+ Days (High Risk)</v>
      </c>
      <c r="P115">
        <f t="shared" si="13"/>
        <v>0</v>
      </c>
      <c r="Q115" s="3">
        <f t="shared" ca="1" si="11"/>
        <v>2014.85</v>
      </c>
    </row>
    <row r="116" spans="1:17" x14ac:dyDescent="0.25">
      <c r="A116" t="s">
        <v>120</v>
      </c>
      <c r="B116" t="s">
        <v>910</v>
      </c>
      <c r="C116" s="1">
        <v>45264</v>
      </c>
      <c r="D116" s="1">
        <v>45309</v>
      </c>
      <c r="E116">
        <v>4892.3500000000004</v>
      </c>
      <c r="F116" t="s">
        <v>915</v>
      </c>
      <c r="G116" t="s">
        <v>917</v>
      </c>
      <c r="I116" t="s">
        <v>919</v>
      </c>
      <c r="J116" t="b">
        <f t="shared" si="7"/>
        <v>1</v>
      </c>
      <c r="K116" s="3">
        <f t="shared" ca="1" si="8"/>
        <v>787</v>
      </c>
      <c r="L116" s="3">
        <f t="shared" ca="1" si="9"/>
        <v>742</v>
      </c>
      <c r="M116" t="str">
        <f t="shared" ca="1" si="10"/>
        <v>Overdue</v>
      </c>
      <c r="N116">
        <f t="shared" si="12"/>
        <v>4892.3500000000004</v>
      </c>
      <c r="O116" t="str" cm="1">
        <f t="array" aca="1" ref="O116" ca="1">_xlfn.IFS(
L116&lt;=0,"Not Due",
L116&lt;=30,"0–30 Days",
L116&lt;=60,"31–60 Days",
L116&lt;=90,"61–90 Days",
L116&lt;=180,"91–180 Days",
L116&lt;=365,"181–365 Days",
L116&gt;365,"365+ Days (High Risk)"
)</f>
        <v>365+ Days (High Risk)</v>
      </c>
      <c r="P116">
        <f t="shared" si="13"/>
        <v>0</v>
      </c>
      <c r="Q116" s="3">
        <f t="shared" ca="1" si="11"/>
        <v>4892.3500000000004</v>
      </c>
    </row>
    <row r="117" spans="1:17" x14ac:dyDescent="0.25">
      <c r="A117" t="s">
        <v>121</v>
      </c>
      <c r="B117" t="s">
        <v>908</v>
      </c>
      <c r="C117" s="1">
        <v>45808</v>
      </c>
      <c r="D117" s="1">
        <v>45853</v>
      </c>
      <c r="E117">
        <v>4299.43</v>
      </c>
      <c r="F117" t="s">
        <v>911</v>
      </c>
      <c r="G117" t="s">
        <v>916</v>
      </c>
      <c r="I117" t="s">
        <v>919</v>
      </c>
      <c r="J117" t="b">
        <f t="shared" si="7"/>
        <v>1</v>
      </c>
      <c r="K117" s="3">
        <f t="shared" ca="1" si="8"/>
        <v>243</v>
      </c>
      <c r="L117" s="3">
        <f t="shared" ca="1" si="9"/>
        <v>198</v>
      </c>
      <c r="M117" t="str">
        <f t="shared" ca="1" si="10"/>
        <v>Overdue</v>
      </c>
      <c r="N117">
        <f t="shared" si="12"/>
        <v>4299.43</v>
      </c>
      <c r="O117" t="str" cm="1">
        <f t="array" aca="1" ref="O117" ca="1">_xlfn.IFS(
L117&lt;=0,"Not Due",
L117&lt;=30,"0–30 Days",
L117&lt;=60,"31–60 Days",
L117&lt;=90,"61–90 Days",
L117&lt;=180,"91–180 Days",
L117&lt;=365,"181–365 Days",
L117&gt;365,"365+ Days (High Risk)"
)</f>
        <v>181–365 Days</v>
      </c>
      <c r="P117">
        <f t="shared" si="13"/>
        <v>0</v>
      </c>
      <c r="Q117" s="3">
        <f t="shared" ca="1" si="11"/>
        <v>4299.43</v>
      </c>
    </row>
    <row r="118" spans="1:17" x14ac:dyDescent="0.25">
      <c r="A118" t="s">
        <v>122</v>
      </c>
      <c r="B118" t="s">
        <v>909</v>
      </c>
      <c r="C118" s="1">
        <v>45089</v>
      </c>
      <c r="D118" s="1">
        <v>45134</v>
      </c>
      <c r="E118">
        <v>5721</v>
      </c>
      <c r="F118" t="s">
        <v>911</v>
      </c>
      <c r="G118" t="s">
        <v>917</v>
      </c>
      <c r="I118" t="s">
        <v>919</v>
      </c>
      <c r="J118" t="b">
        <f t="shared" si="7"/>
        <v>1</v>
      </c>
      <c r="K118" s="3">
        <f t="shared" ca="1" si="8"/>
        <v>962</v>
      </c>
      <c r="L118" s="3">
        <f t="shared" ca="1" si="9"/>
        <v>917</v>
      </c>
      <c r="M118" t="str">
        <f t="shared" ca="1" si="10"/>
        <v>Overdue</v>
      </c>
      <c r="N118">
        <f t="shared" si="12"/>
        <v>5721</v>
      </c>
      <c r="O118" t="str" cm="1">
        <f t="array" aca="1" ref="O118" ca="1">_xlfn.IFS(
L118&lt;=0,"Not Due",
L118&lt;=30,"0–30 Days",
L118&lt;=60,"31–60 Days",
L118&lt;=90,"61–90 Days",
L118&lt;=180,"91–180 Days",
L118&lt;=365,"181–365 Days",
L118&gt;365,"365+ Days (High Risk)"
)</f>
        <v>365+ Days (High Risk)</v>
      </c>
      <c r="P118">
        <f t="shared" si="13"/>
        <v>0</v>
      </c>
      <c r="Q118" s="3">
        <f t="shared" ca="1" si="11"/>
        <v>5721</v>
      </c>
    </row>
    <row r="119" spans="1:17" x14ac:dyDescent="0.25">
      <c r="A119" t="s">
        <v>123</v>
      </c>
      <c r="B119" t="s">
        <v>907</v>
      </c>
      <c r="C119" s="1">
        <v>45184</v>
      </c>
      <c r="D119" s="1">
        <v>45229</v>
      </c>
      <c r="E119">
        <v>7503.51</v>
      </c>
      <c r="F119" t="s">
        <v>911</v>
      </c>
      <c r="G119" t="s">
        <v>916</v>
      </c>
      <c r="I119" t="s">
        <v>919</v>
      </c>
      <c r="J119" t="b">
        <f t="shared" si="7"/>
        <v>1</v>
      </c>
      <c r="K119" s="3">
        <f t="shared" ca="1" si="8"/>
        <v>867</v>
      </c>
      <c r="L119" s="3">
        <f t="shared" ca="1" si="9"/>
        <v>822</v>
      </c>
      <c r="M119" t="str">
        <f t="shared" ca="1" si="10"/>
        <v>Overdue</v>
      </c>
      <c r="N119">
        <f t="shared" si="12"/>
        <v>7503.51</v>
      </c>
      <c r="O119" t="str" cm="1">
        <f t="array" aca="1" ref="O119" ca="1">_xlfn.IFS(
L119&lt;=0,"Not Due",
L119&lt;=30,"0–30 Days",
L119&lt;=60,"31–60 Days",
L119&lt;=90,"61–90 Days",
L119&lt;=180,"91–180 Days",
L119&lt;=365,"181–365 Days",
L119&gt;365,"365+ Days (High Risk)"
)</f>
        <v>365+ Days (High Risk)</v>
      </c>
      <c r="P119">
        <f t="shared" si="13"/>
        <v>0</v>
      </c>
      <c r="Q119" s="3">
        <f t="shared" ca="1" si="11"/>
        <v>7503.51</v>
      </c>
    </row>
    <row r="120" spans="1:17" x14ac:dyDescent="0.25">
      <c r="A120" t="s">
        <v>124</v>
      </c>
      <c r="B120" t="s">
        <v>908</v>
      </c>
      <c r="C120" s="1">
        <v>45767</v>
      </c>
      <c r="D120" s="1">
        <v>45812</v>
      </c>
      <c r="E120">
        <v>971.21</v>
      </c>
      <c r="F120" t="s">
        <v>911</v>
      </c>
      <c r="G120" t="s">
        <v>918</v>
      </c>
      <c r="H120" s="1">
        <v>45812</v>
      </c>
      <c r="I120" t="s">
        <v>919</v>
      </c>
      <c r="J120" t="b">
        <f t="shared" si="7"/>
        <v>0</v>
      </c>
      <c r="K120" s="3">
        <f t="shared" ca="1" si="8"/>
        <v>45</v>
      </c>
      <c r="L120" s="3">
        <f t="shared" ca="1" si="9"/>
        <v>0</v>
      </c>
      <c r="M120" t="str">
        <f t="shared" ca="1" si="10"/>
        <v>On Time</v>
      </c>
      <c r="N120">
        <f t="shared" si="12"/>
        <v>0</v>
      </c>
      <c r="O120" t="str" cm="1">
        <f t="array" aca="1" ref="O120" ca="1">_xlfn.IFS(
L120&lt;=0,"Not Due",
L120&lt;=30,"0–30 Days",
L120&lt;=60,"31–60 Days",
L120&lt;=90,"61–90 Days",
L120&lt;=180,"91–180 Days",
L120&lt;=365,"181–365 Days",
L120&gt;365,"365+ Days (High Risk)"
)</f>
        <v>Not Due</v>
      </c>
      <c r="P120">
        <f t="shared" si="13"/>
        <v>971.21</v>
      </c>
      <c r="Q120" s="3">
        <f t="shared" ca="1" si="11"/>
        <v>0</v>
      </c>
    </row>
    <row r="121" spans="1:17" x14ac:dyDescent="0.25">
      <c r="A121" t="s">
        <v>125</v>
      </c>
      <c r="B121" t="s">
        <v>910</v>
      </c>
      <c r="C121" s="1">
        <v>45475</v>
      </c>
      <c r="D121" s="1">
        <v>45520</v>
      </c>
      <c r="E121">
        <v>271.08999999999997</v>
      </c>
      <c r="F121" t="s">
        <v>911</v>
      </c>
      <c r="G121" t="s">
        <v>918</v>
      </c>
      <c r="H121" s="1">
        <v>45520</v>
      </c>
      <c r="I121" t="s">
        <v>919</v>
      </c>
      <c r="J121" t="b">
        <f t="shared" si="7"/>
        <v>0</v>
      </c>
      <c r="K121" s="3">
        <f t="shared" ca="1" si="8"/>
        <v>45</v>
      </c>
      <c r="L121" s="3">
        <f t="shared" ca="1" si="9"/>
        <v>0</v>
      </c>
      <c r="M121" t="str">
        <f t="shared" ca="1" si="10"/>
        <v>On Time</v>
      </c>
      <c r="N121">
        <f t="shared" si="12"/>
        <v>0</v>
      </c>
      <c r="O121" t="str" cm="1">
        <f t="array" aca="1" ref="O121" ca="1">_xlfn.IFS(
L121&lt;=0,"Not Due",
L121&lt;=30,"0–30 Days",
L121&lt;=60,"31–60 Days",
L121&lt;=90,"61–90 Days",
L121&lt;=180,"91–180 Days",
L121&lt;=365,"181–365 Days",
L121&gt;365,"365+ Days (High Risk)"
)</f>
        <v>Not Due</v>
      </c>
      <c r="P121">
        <f t="shared" si="13"/>
        <v>271.08999999999997</v>
      </c>
      <c r="Q121" s="3">
        <f t="shared" ca="1" si="11"/>
        <v>0</v>
      </c>
    </row>
    <row r="122" spans="1:17" x14ac:dyDescent="0.25">
      <c r="A122" t="s">
        <v>126</v>
      </c>
      <c r="B122" t="s">
        <v>908</v>
      </c>
      <c r="C122" s="1">
        <v>45758</v>
      </c>
      <c r="D122" s="1">
        <v>45803</v>
      </c>
      <c r="E122">
        <v>3411.27</v>
      </c>
      <c r="F122" t="s">
        <v>913</v>
      </c>
      <c r="G122" t="s">
        <v>917</v>
      </c>
      <c r="I122" t="s">
        <v>919</v>
      </c>
      <c r="J122" t="b">
        <f t="shared" si="7"/>
        <v>1</v>
      </c>
      <c r="K122" s="3">
        <f t="shared" ca="1" si="8"/>
        <v>293</v>
      </c>
      <c r="L122" s="3">
        <f t="shared" ca="1" si="9"/>
        <v>248</v>
      </c>
      <c r="M122" t="str">
        <f t="shared" ca="1" si="10"/>
        <v>Overdue</v>
      </c>
      <c r="N122">
        <f t="shared" si="12"/>
        <v>3411.27</v>
      </c>
      <c r="O122" t="str" cm="1">
        <f t="array" aca="1" ref="O122" ca="1">_xlfn.IFS(
L122&lt;=0,"Not Due",
L122&lt;=30,"0–30 Days",
L122&lt;=60,"31–60 Days",
L122&lt;=90,"61–90 Days",
L122&lt;=180,"91–180 Days",
L122&lt;=365,"181–365 Days",
L122&gt;365,"365+ Days (High Risk)"
)</f>
        <v>181–365 Days</v>
      </c>
      <c r="P122">
        <f t="shared" si="13"/>
        <v>0</v>
      </c>
      <c r="Q122" s="3">
        <f t="shared" ca="1" si="11"/>
        <v>3411.27</v>
      </c>
    </row>
    <row r="123" spans="1:17" x14ac:dyDescent="0.25">
      <c r="A123" t="s">
        <v>127</v>
      </c>
      <c r="B123" t="s">
        <v>909</v>
      </c>
      <c r="C123" s="1">
        <v>45678</v>
      </c>
      <c r="D123" s="1">
        <v>45723</v>
      </c>
      <c r="E123">
        <v>785.47</v>
      </c>
      <c r="F123" t="s">
        <v>915</v>
      </c>
      <c r="G123" t="s">
        <v>916</v>
      </c>
      <c r="I123" t="s">
        <v>919</v>
      </c>
      <c r="J123" t="b">
        <f t="shared" si="7"/>
        <v>1</v>
      </c>
      <c r="K123" s="3">
        <f t="shared" ca="1" si="8"/>
        <v>373</v>
      </c>
      <c r="L123" s="3">
        <f t="shared" ca="1" si="9"/>
        <v>328</v>
      </c>
      <c r="M123" t="str">
        <f t="shared" ca="1" si="10"/>
        <v>Overdue</v>
      </c>
      <c r="N123">
        <f t="shared" si="12"/>
        <v>785.47</v>
      </c>
      <c r="O123" t="str" cm="1">
        <f t="array" aca="1" ref="O123" ca="1">_xlfn.IFS(
L123&lt;=0,"Not Due",
L123&lt;=30,"0–30 Days",
L123&lt;=60,"31–60 Days",
L123&lt;=90,"61–90 Days",
L123&lt;=180,"91–180 Days",
L123&lt;=365,"181–365 Days",
L123&gt;365,"365+ Days (High Risk)"
)</f>
        <v>181–365 Days</v>
      </c>
      <c r="P123">
        <f t="shared" si="13"/>
        <v>0</v>
      </c>
      <c r="Q123" s="3">
        <f t="shared" ca="1" si="11"/>
        <v>785.47</v>
      </c>
    </row>
    <row r="124" spans="1:17" x14ac:dyDescent="0.25">
      <c r="A124" t="s">
        <v>128</v>
      </c>
      <c r="B124" t="s">
        <v>910</v>
      </c>
      <c r="C124" s="1">
        <v>45370</v>
      </c>
      <c r="D124" s="1">
        <v>45415</v>
      </c>
      <c r="E124">
        <v>1451.37</v>
      </c>
      <c r="F124" t="s">
        <v>914</v>
      </c>
      <c r="G124" t="s">
        <v>916</v>
      </c>
      <c r="I124" t="s">
        <v>919</v>
      </c>
      <c r="J124" t="b">
        <f t="shared" si="7"/>
        <v>1</v>
      </c>
      <c r="K124" s="3">
        <f t="shared" ca="1" si="8"/>
        <v>681</v>
      </c>
      <c r="L124" s="3">
        <f t="shared" ca="1" si="9"/>
        <v>636</v>
      </c>
      <c r="M124" t="str">
        <f t="shared" ca="1" si="10"/>
        <v>Overdue</v>
      </c>
      <c r="N124">
        <f t="shared" si="12"/>
        <v>1451.37</v>
      </c>
      <c r="O124" t="str" cm="1">
        <f t="array" aca="1" ref="O124" ca="1">_xlfn.IFS(
L124&lt;=0,"Not Due",
L124&lt;=30,"0–30 Days",
L124&lt;=60,"31–60 Days",
L124&lt;=90,"61–90 Days",
L124&lt;=180,"91–180 Days",
L124&lt;=365,"181–365 Days",
L124&gt;365,"365+ Days (High Risk)"
)</f>
        <v>365+ Days (High Risk)</v>
      </c>
      <c r="P124">
        <f t="shared" si="13"/>
        <v>0</v>
      </c>
      <c r="Q124" s="3">
        <f t="shared" ca="1" si="11"/>
        <v>1451.37</v>
      </c>
    </row>
    <row r="125" spans="1:17" x14ac:dyDescent="0.25">
      <c r="A125" t="s">
        <v>129</v>
      </c>
      <c r="B125" t="s">
        <v>909</v>
      </c>
      <c r="C125" s="1">
        <v>45092</v>
      </c>
      <c r="D125" s="1">
        <v>45137</v>
      </c>
      <c r="E125">
        <v>4225.25</v>
      </c>
      <c r="F125" t="s">
        <v>915</v>
      </c>
      <c r="G125" t="s">
        <v>918</v>
      </c>
      <c r="H125" s="1">
        <v>45137</v>
      </c>
      <c r="I125" t="s">
        <v>919</v>
      </c>
      <c r="J125" t="b">
        <f t="shared" si="7"/>
        <v>0</v>
      </c>
      <c r="K125" s="3">
        <f t="shared" ca="1" si="8"/>
        <v>45</v>
      </c>
      <c r="L125" s="3">
        <f t="shared" ca="1" si="9"/>
        <v>0</v>
      </c>
      <c r="M125" t="str">
        <f t="shared" ca="1" si="10"/>
        <v>On Time</v>
      </c>
      <c r="N125">
        <f t="shared" si="12"/>
        <v>0</v>
      </c>
      <c r="O125" t="str" cm="1">
        <f t="array" aca="1" ref="O125" ca="1">_xlfn.IFS(
L125&lt;=0,"Not Due",
L125&lt;=30,"0–30 Days",
L125&lt;=60,"31–60 Days",
L125&lt;=90,"61–90 Days",
L125&lt;=180,"91–180 Days",
L125&lt;=365,"181–365 Days",
L125&gt;365,"365+ Days (High Risk)"
)</f>
        <v>Not Due</v>
      </c>
      <c r="P125">
        <f t="shared" si="13"/>
        <v>4225.25</v>
      </c>
      <c r="Q125" s="3">
        <f t="shared" ca="1" si="11"/>
        <v>0</v>
      </c>
    </row>
    <row r="126" spans="1:17" x14ac:dyDescent="0.25">
      <c r="A126" t="s">
        <v>130</v>
      </c>
      <c r="B126" t="s">
        <v>909</v>
      </c>
      <c r="C126" s="1">
        <v>44977</v>
      </c>
      <c r="D126" s="1">
        <v>45022</v>
      </c>
      <c r="E126">
        <v>1416.74</v>
      </c>
      <c r="F126" t="s">
        <v>912</v>
      </c>
      <c r="G126" t="s">
        <v>916</v>
      </c>
      <c r="I126" t="s">
        <v>919</v>
      </c>
      <c r="J126" t="b">
        <f t="shared" si="7"/>
        <v>1</v>
      </c>
      <c r="K126" s="3">
        <f t="shared" ca="1" si="8"/>
        <v>1074</v>
      </c>
      <c r="L126" s="3">
        <f t="shared" ca="1" si="9"/>
        <v>1029</v>
      </c>
      <c r="M126" t="str">
        <f t="shared" ca="1" si="10"/>
        <v>Overdue</v>
      </c>
      <c r="N126">
        <f t="shared" si="12"/>
        <v>1416.74</v>
      </c>
      <c r="O126" t="str" cm="1">
        <f t="array" aca="1" ref="O126" ca="1">_xlfn.IFS(
L126&lt;=0,"Not Due",
L126&lt;=30,"0–30 Days",
L126&lt;=60,"31–60 Days",
L126&lt;=90,"61–90 Days",
L126&lt;=180,"91–180 Days",
L126&lt;=365,"181–365 Days",
L126&gt;365,"365+ Days (High Risk)"
)</f>
        <v>365+ Days (High Risk)</v>
      </c>
      <c r="P126">
        <f t="shared" si="13"/>
        <v>0</v>
      </c>
      <c r="Q126" s="3">
        <f t="shared" ca="1" si="11"/>
        <v>1416.74</v>
      </c>
    </row>
    <row r="127" spans="1:17" x14ac:dyDescent="0.25">
      <c r="A127" t="s">
        <v>131</v>
      </c>
      <c r="B127" t="s">
        <v>910</v>
      </c>
      <c r="C127" s="1">
        <v>45807</v>
      </c>
      <c r="D127" s="1">
        <v>45852</v>
      </c>
      <c r="E127">
        <v>5473.58</v>
      </c>
      <c r="F127" t="s">
        <v>912</v>
      </c>
      <c r="G127" t="s">
        <v>918</v>
      </c>
      <c r="H127" s="1">
        <v>45852</v>
      </c>
      <c r="I127" t="s">
        <v>919</v>
      </c>
      <c r="J127" t="b">
        <f t="shared" si="7"/>
        <v>0</v>
      </c>
      <c r="K127" s="3">
        <f t="shared" ca="1" si="8"/>
        <v>45</v>
      </c>
      <c r="L127" s="3">
        <f t="shared" ca="1" si="9"/>
        <v>0</v>
      </c>
      <c r="M127" t="str">
        <f t="shared" ca="1" si="10"/>
        <v>On Time</v>
      </c>
      <c r="N127">
        <f t="shared" si="12"/>
        <v>0</v>
      </c>
      <c r="O127" t="str" cm="1">
        <f t="array" aca="1" ref="O127" ca="1">_xlfn.IFS(
L127&lt;=0,"Not Due",
L127&lt;=30,"0–30 Days",
L127&lt;=60,"31–60 Days",
L127&lt;=90,"61–90 Days",
L127&lt;=180,"91–180 Days",
L127&lt;=365,"181–365 Days",
L127&gt;365,"365+ Days (High Risk)"
)</f>
        <v>Not Due</v>
      </c>
      <c r="P127">
        <f t="shared" si="13"/>
        <v>5473.58</v>
      </c>
      <c r="Q127" s="3">
        <f t="shared" ca="1" si="11"/>
        <v>0</v>
      </c>
    </row>
    <row r="128" spans="1:17" x14ac:dyDescent="0.25">
      <c r="A128" t="s">
        <v>132</v>
      </c>
      <c r="B128" t="s">
        <v>910</v>
      </c>
      <c r="C128" s="1">
        <v>45135</v>
      </c>
      <c r="D128" s="1">
        <v>45180</v>
      </c>
      <c r="E128">
        <v>5239.3</v>
      </c>
      <c r="F128" t="s">
        <v>914</v>
      </c>
      <c r="G128" t="s">
        <v>916</v>
      </c>
      <c r="I128" t="s">
        <v>919</v>
      </c>
      <c r="J128" t="b">
        <f t="shared" si="7"/>
        <v>1</v>
      </c>
      <c r="K128" s="3">
        <f t="shared" ca="1" si="8"/>
        <v>916</v>
      </c>
      <c r="L128" s="3">
        <f t="shared" ca="1" si="9"/>
        <v>871</v>
      </c>
      <c r="M128" t="str">
        <f t="shared" ca="1" si="10"/>
        <v>Overdue</v>
      </c>
      <c r="N128">
        <f t="shared" si="12"/>
        <v>5239.3</v>
      </c>
      <c r="O128" t="str" cm="1">
        <f t="array" aca="1" ref="O128" ca="1">_xlfn.IFS(
L128&lt;=0,"Not Due",
L128&lt;=30,"0–30 Days",
L128&lt;=60,"31–60 Days",
L128&lt;=90,"61–90 Days",
L128&lt;=180,"91–180 Days",
L128&lt;=365,"181–365 Days",
L128&gt;365,"365+ Days (High Risk)"
)</f>
        <v>365+ Days (High Risk)</v>
      </c>
      <c r="P128">
        <f t="shared" si="13"/>
        <v>0</v>
      </c>
      <c r="Q128" s="3">
        <f t="shared" ca="1" si="11"/>
        <v>5239.3</v>
      </c>
    </row>
    <row r="129" spans="1:17" x14ac:dyDescent="0.25">
      <c r="A129" t="s">
        <v>133</v>
      </c>
      <c r="B129" t="s">
        <v>907</v>
      </c>
      <c r="C129" s="1">
        <v>44997</v>
      </c>
      <c r="D129" s="1">
        <v>45042</v>
      </c>
      <c r="E129">
        <v>5141.1899999999996</v>
      </c>
      <c r="F129" t="s">
        <v>914</v>
      </c>
      <c r="G129" t="s">
        <v>917</v>
      </c>
      <c r="I129" t="s">
        <v>919</v>
      </c>
      <c r="J129" t="b">
        <f t="shared" si="7"/>
        <v>1</v>
      </c>
      <c r="K129" s="3">
        <f t="shared" ca="1" si="8"/>
        <v>1054</v>
      </c>
      <c r="L129" s="3">
        <f t="shared" ca="1" si="9"/>
        <v>1009</v>
      </c>
      <c r="M129" t="str">
        <f t="shared" ca="1" si="10"/>
        <v>Overdue</v>
      </c>
      <c r="N129">
        <f t="shared" si="12"/>
        <v>5141.1899999999996</v>
      </c>
      <c r="O129" t="str" cm="1">
        <f t="array" aca="1" ref="O129" ca="1">_xlfn.IFS(
L129&lt;=0,"Not Due",
L129&lt;=30,"0–30 Days",
L129&lt;=60,"31–60 Days",
L129&lt;=90,"61–90 Days",
L129&lt;=180,"91–180 Days",
L129&lt;=365,"181–365 Days",
L129&gt;365,"365+ Days (High Risk)"
)</f>
        <v>365+ Days (High Risk)</v>
      </c>
      <c r="P129">
        <f t="shared" si="13"/>
        <v>0</v>
      </c>
      <c r="Q129" s="3">
        <f t="shared" ca="1" si="11"/>
        <v>5141.1899999999996</v>
      </c>
    </row>
    <row r="130" spans="1:17" x14ac:dyDescent="0.25">
      <c r="A130" t="s">
        <v>134</v>
      </c>
      <c r="B130" t="s">
        <v>908</v>
      </c>
      <c r="C130" s="1">
        <v>45243</v>
      </c>
      <c r="D130" s="1">
        <v>45288</v>
      </c>
      <c r="E130">
        <v>7401.81</v>
      </c>
      <c r="F130" t="s">
        <v>913</v>
      </c>
      <c r="G130" t="s">
        <v>918</v>
      </c>
      <c r="H130" s="1">
        <v>45288</v>
      </c>
      <c r="I130" t="s">
        <v>919</v>
      </c>
      <c r="J130" t="b">
        <f t="shared" ref="J130:J193" si="14">ISBLANK(H130)</f>
        <v>0</v>
      </c>
      <c r="K130" s="3">
        <f t="shared" ref="K130:K193" ca="1" si="15">IF(G130="Received",
IF(H130="",TODAY()-C130,H130-C130),
TODAY()-C130)</f>
        <v>45</v>
      </c>
      <c r="L130" s="3">
        <f t="shared" ref="L130:L193" ca="1" si="16">IF(N130=0,0,TODAY()-D130)</f>
        <v>0</v>
      </c>
      <c r="M130" t="str">
        <f t="shared" ref="M130:M193" ca="1" si="17">IF(L130&gt;0,"Overdue","On Time")</f>
        <v>On Time</v>
      </c>
      <c r="N130">
        <f t="shared" si="12"/>
        <v>0</v>
      </c>
      <c r="O130" t="str" cm="1">
        <f t="array" aca="1" ref="O130" ca="1">_xlfn.IFS(
L130&lt;=0,"Not Due",
L130&lt;=30,"0–30 Days",
L130&lt;=60,"31–60 Days",
L130&lt;=90,"61–90 Days",
L130&lt;=180,"91–180 Days",
L130&lt;=365,"181–365 Days",
L130&gt;365,"365+ Days (High Risk)"
)</f>
        <v>Not Due</v>
      </c>
      <c r="P130">
        <f t="shared" si="13"/>
        <v>7401.81</v>
      </c>
      <c r="Q130" s="3">
        <f t="shared" ref="Q130:Q193" ca="1" si="18">IF(L130&gt;0, N130, 0)</f>
        <v>0</v>
      </c>
    </row>
    <row r="131" spans="1:17" x14ac:dyDescent="0.25">
      <c r="A131" t="s">
        <v>135</v>
      </c>
      <c r="B131" t="s">
        <v>910</v>
      </c>
      <c r="C131" s="1">
        <v>45229</v>
      </c>
      <c r="D131" s="1">
        <v>45274</v>
      </c>
      <c r="E131">
        <v>6909.77</v>
      </c>
      <c r="F131" t="s">
        <v>912</v>
      </c>
      <c r="G131" t="s">
        <v>916</v>
      </c>
      <c r="I131" t="s">
        <v>919</v>
      </c>
      <c r="J131" t="b">
        <f t="shared" si="14"/>
        <v>1</v>
      </c>
      <c r="K131" s="3">
        <f t="shared" ca="1" si="15"/>
        <v>822</v>
      </c>
      <c r="L131" s="3">
        <f t="shared" ca="1" si="16"/>
        <v>777</v>
      </c>
      <c r="M131" t="str">
        <f t="shared" ca="1" si="17"/>
        <v>Overdue</v>
      </c>
      <c r="N131">
        <f t="shared" ref="N131:N194" si="19">IF(G131="Received",0,E131)</f>
        <v>6909.77</v>
      </c>
      <c r="O131" t="str" cm="1">
        <f t="array" aca="1" ref="O131" ca="1">_xlfn.IFS(
L131&lt;=0,"Not Due",
L131&lt;=30,"0–30 Days",
L131&lt;=60,"31–60 Days",
L131&lt;=90,"61–90 Days",
L131&lt;=180,"91–180 Days",
L131&lt;=365,"181–365 Days",
L131&gt;365,"365+ Days (High Risk)"
)</f>
        <v>365+ Days (High Risk)</v>
      </c>
      <c r="P131">
        <f t="shared" ref="P131:P194" si="20">E131-N131</f>
        <v>0</v>
      </c>
      <c r="Q131" s="3">
        <f t="shared" ca="1" si="18"/>
        <v>6909.77</v>
      </c>
    </row>
    <row r="132" spans="1:17" x14ac:dyDescent="0.25">
      <c r="A132" t="s">
        <v>136</v>
      </c>
      <c r="B132" t="s">
        <v>910</v>
      </c>
      <c r="C132" s="1">
        <v>45197</v>
      </c>
      <c r="D132" s="1">
        <v>45242</v>
      </c>
      <c r="E132">
        <v>3554.68</v>
      </c>
      <c r="F132" t="s">
        <v>911</v>
      </c>
      <c r="G132" t="s">
        <v>918</v>
      </c>
      <c r="H132" s="1">
        <v>45242</v>
      </c>
      <c r="I132" t="s">
        <v>919</v>
      </c>
      <c r="J132" t="b">
        <f t="shared" si="14"/>
        <v>0</v>
      </c>
      <c r="K132" s="3">
        <f t="shared" ca="1" si="15"/>
        <v>45</v>
      </c>
      <c r="L132" s="3">
        <f t="shared" ca="1" si="16"/>
        <v>0</v>
      </c>
      <c r="M132" t="str">
        <f t="shared" ca="1" si="17"/>
        <v>On Time</v>
      </c>
      <c r="N132">
        <f t="shared" si="19"/>
        <v>0</v>
      </c>
      <c r="O132" t="str" cm="1">
        <f t="array" aca="1" ref="O132" ca="1">_xlfn.IFS(
L132&lt;=0,"Not Due",
L132&lt;=30,"0–30 Days",
L132&lt;=60,"31–60 Days",
L132&lt;=90,"61–90 Days",
L132&lt;=180,"91–180 Days",
L132&lt;=365,"181–365 Days",
L132&gt;365,"365+ Days (High Risk)"
)</f>
        <v>Not Due</v>
      </c>
      <c r="P132">
        <f t="shared" si="20"/>
        <v>3554.68</v>
      </c>
      <c r="Q132" s="3">
        <f t="shared" ca="1" si="18"/>
        <v>0</v>
      </c>
    </row>
    <row r="133" spans="1:17" x14ac:dyDescent="0.25">
      <c r="A133" t="s">
        <v>137</v>
      </c>
      <c r="B133" t="s">
        <v>907</v>
      </c>
      <c r="C133" s="1">
        <v>45194</v>
      </c>
      <c r="D133" s="1">
        <v>45239</v>
      </c>
      <c r="E133">
        <v>3944.66</v>
      </c>
      <c r="F133" t="s">
        <v>912</v>
      </c>
      <c r="G133" t="s">
        <v>916</v>
      </c>
      <c r="I133" t="s">
        <v>919</v>
      </c>
      <c r="J133" t="b">
        <f t="shared" si="14"/>
        <v>1</v>
      </c>
      <c r="K133" s="3">
        <f t="shared" ca="1" si="15"/>
        <v>857</v>
      </c>
      <c r="L133" s="3">
        <f t="shared" ca="1" si="16"/>
        <v>812</v>
      </c>
      <c r="M133" t="str">
        <f t="shared" ca="1" si="17"/>
        <v>Overdue</v>
      </c>
      <c r="N133">
        <f t="shared" si="19"/>
        <v>3944.66</v>
      </c>
      <c r="O133" t="str" cm="1">
        <f t="array" aca="1" ref="O133" ca="1">_xlfn.IFS(
L133&lt;=0,"Not Due",
L133&lt;=30,"0–30 Days",
L133&lt;=60,"31–60 Days",
L133&lt;=90,"61–90 Days",
L133&lt;=180,"91–180 Days",
L133&lt;=365,"181–365 Days",
L133&gt;365,"365+ Days (High Risk)"
)</f>
        <v>365+ Days (High Risk)</v>
      </c>
      <c r="P133">
        <f t="shared" si="20"/>
        <v>0</v>
      </c>
      <c r="Q133" s="3">
        <f t="shared" ca="1" si="18"/>
        <v>3944.66</v>
      </c>
    </row>
    <row r="134" spans="1:17" x14ac:dyDescent="0.25">
      <c r="A134" t="s">
        <v>138</v>
      </c>
      <c r="B134" t="s">
        <v>906</v>
      </c>
      <c r="C134" s="1">
        <v>45349</v>
      </c>
      <c r="D134" s="1">
        <v>45394</v>
      </c>
      <c r="E134">
        <v>1328.09</v>
      </c>
      <c r="F134" t="s">
        <v>911</v>
      </c>
      <c r="G134" t="s">
        <v>918</v>
      </c>
      <c r="H134" s="1">
        <v>45394</v>
      </c>
      <c r="I134" t="s">
        <v>919</v>
      </c>
      <c r="J134" t="b">
        <f t="shared" si="14"/>
        <v>0</v>
      </c>
      <c r="K134" s="3">
        <f t="shared" ca="1" si="15"/>
        <v>45</v>
      </c>
      <c r="L134" s="3">
        <f t="shared" ca="1" si="16"/>
        <v>0</v>
      </c>
      <c r="M134" t="str">
        <f t="shared" ca="1" si="17"/>
        <v>On Time</v>
      </c>
      <c r="N134">
        <f t="shared" si="19"/>
        <v>0</v>
      </c>
      <c r="O134" t="str" cm="1">
        <f t="array" aca="1" ref="O134" ca="1">_xlfn.IFS(
L134&lt;=0,"Not Due",
L134&lt;=30,"0–30 Days",
L134&lt;=60,"31–60 Days",
L134&lt;=90,"61–90 Days",
L134&lt;=180,"91–180 Days",
L134&lt;=365,"181–365 Days",
L134&gt;365,"365+ Days (High Risk)"
)</f>
        <v>Not Due</v>
      </c>
      <c r="P134">
        <f t="shared" si="20"/>
        <v>1328.09</v>
      </c>
      <c r="Q134" s="3">
        <f t="shared" ca="1" si="18"/>
        <v>0</v>
      </c>
    </row>
    <row r="135" spans="1:17" x14ac:dyDescent="0.25">
      <c r="A135" t="s">
        <v>139</v>
      </c>
      <c r="B135" t="s">
        <v>906</v>
      </c>
      <c r="C135" s="1">
        <v>45804</v>
      </c>
      <c r="D135" s="1">
        <v>45849</v>
      </c>
      <c r="E135">
        <v>6057.16</v>
      </c>
      <c r="F135" t="s">
        <v>914</v>
      </c>
      <c r="G135" t="s">
        <v>918</v>
      </c>
      <c r="H135" s="1">
        <v>45849</v>
      </c>
      <c r="I135" t="s">
        <v>919</v>
      </c>
      <c r="J135" t="b">
        <f t="shared" si="14"/>
        <v>0</v>
      </c>
      <c r="K135" s="3">
        <f t="shared" ca="1" si="15"/>
        <v>45</v>
      </c>
      <c r="L135" s="3">
        <f t="shared" ca="1" si="16"/>
        <v>0</v>
      </c>
      <c r="M135" t="str">
        <f t="shared" ca="1" si="17"/>
        <v>On Time</v>
      </c>
      <c r="N135">
        <f t="shared" si="19"/>
        <v>0</v>
      </c>
      <c r="O135" t="str" cm="1">
        <f t="array" aca="1" ref="O135" ca="1">_xlfn.IFS(
L135&lt;=0,"Not Due",
L135&lt;=30,"0–30 Days",
L135&lt;=60,"31–60 Days",
L135&lt;=90,"61–90 Days",
L135&lt;=180,"91–180 Days",
L135&lt;=365,"181–365 Days",
L135&gt;365,"365+ Days (High Risk)"
)</f>
        <v>Not Due</v>
      </c>
      <c r="P135">
        <f t="shared" si="20"/>
        <v>6057.16</v>
      </c>
      <c r="Q135" s="3">
        <f t="shared" ca="1" si="18"/>
        <v>0</v>
      </c>
    </row>
    <row r="136" spans="1:17" x14ac:dyDescent="0.25">
      <c r="A136" t="s">
        <v>140</v>
      </c>
      <c r="B136" t="s">
        <v>909</v>
      </c>
      <c r="C136" s="1">
        <v>45230</v>
      </c>
      <c r="D136" s="1">
        <v>45275</v>
      </c>
      <c r="E136">
        <v>1009.43</v>
      </c>
      <c r="F136" t="s">
        <v>914</v>
      </c>
      <c r="G136" t="s">
        <v>917</v>
      </c>
      <c r="I136" t="s">
        <v>919</v>
      </c>
      <c r="J136" t="b">
        <f t="shared" si="14"/>
        <v>1</v>
      </c>
      <c r="K136" s="3">
        <f t="shared" ca="1" si="15"/>
        <v>821</v>
      </c>
      <c r="L136" s="3">
        <f t="shared" ca="1" si="16"/>
        <v>776</v>
      </c>
      <c r="M136" t="str">
        <f t="shared" ca="1" si="17"/>
        <v>Overdue</v>
      </c>
      <c r="N136">
        <f t="shared" si="19"/>
        <v>1009.43</v>
      </c>
      <c r="O136" t="str" cm="1">
        <f t="array" aca="1" ref="O136" ca="1">_xlfn.IFS(
L136&lt;=0,"Not Due",
L136&lt;=30,"0–30 Days",
L136&lt;=60,"31–60 Days",
L136&lt;=90,"61–90 Days",
L136&lt;=180,"91–180 Days",
L136&lt;=365,"181–365 Days",
L136&gt;365,"365+ Days (High Risk)"
)</f>
        <v>365+ Days (High Risk)</v>
      </c>
      <c r="P136">
        <f t="shared" si="20"/>
        <v>0</v>
      </c>
      <c r="Q136" s="3">
        <f t="shared" ca="1" si="18"/>
        <v>1009.43</v>
      </c>
    </row>
    <row r="137" spans="1:17" x14ac:dyDescent="0.25">
      <c r="A137" t="s">
        <v>141</v>
      </c>
      <c r="B137" t="s">
        <v>907</v>
      </c>
      <c r="C137" s="1">
        <v>45096</v>
      </c>
      <c r="D137" s="1">
        <v>45141</v>
      </c>
      <c r="E137">
        <v>4953.59</v>
      </c>
      <c r="F137" t="s">
        <v>915</v>
      </c>
      <c r="G137" t="s">
        <v>918</v>
      </c>
      <c r="H137" s="1">
        <v>45141</v>
      </c>
      <c r="I137" t="s">
        <v>919</v>
      </c>
      <c r="J137" t="b">
        <f t="shared" si="14"/>
        <v>0</v>
      </c>
      <c r="K137" s="3">
        <f t="shared" ca="1" si="15"/>
        <v>45</v>
      </c>
      <c r="L137" s="3">
        <f t="shared" ca="1" si="16"/>
        <v>0</v>
      </c>
      <c r="M137" t="str">
        <f t="shared" ca="1" si="17"/>
        <v>On Time</v>
      </c>
      <c r="N137">
        <f t="shared" si="19"/>
        <v>0</v>
      </c>
      <c r="O137" t="str" cm="1">
        <f t="array" aca="1" ref="O137" ca="1">_xlfn.IFS(
L137&lt;=0,"Not Due",
L137&lt;=30,"0–30 Days",
L137&lt;=60,"31–60 Days",
L137&lt;=90,"61–90 Days",
L137&lt;=180,"91–180 Days",
L137&lt;=365,"181–365 Days",
L137&gt;365,"365+ Days (High Risk)"
)</f>
        <v>Not Due</v>
      </c>
      <c r="P137">
        <f t="shared" si="20"/>
        <v>4953.59</v>
      </c>
      <c r="Q137" s="3">
        <f t="shared" ca="1" si="18"/>
        <v>0</v>
      </c>
    </row>
    <row r="138" spans="1:17" x14ac:dyDescent="0.25">
      <c r="A138" t="s">
        <v>142</v>
      </c>
      <c r="B138" t="s">
        <v>910</v>
      </c>
      <c r="C138" s="1">
        <v>44944</v>
      </c>
      <c r="D138" s="1">
        <v>44989</v>
      </c>
      <c r="E138">
        <v>1113.25</v>
      </c>
      <c r="F138" t="s">
        <v>913</v>
      </c>
      <c r="G138" t="s">
        <v>918</v>
      </c>
      <c r="H138" s="1">
        <v>44989</v>
      </c>
      <c r="I138" t="s">
        <v>919</v>
      </c>
      <c r="J138" t="b">
        <f t="shared" si="14"/>
        <v>0</v>
      </c>
      <c r="K138" s="3">
        <f t="shared" ca="1" si="15"/>
        <v>45</v>
      </c>
      <c r="L138" s="3">
        <f t="shared" ca="1" si="16"/>
        <v>0</v>
      </c>
      <c r="M138" t="str">
        <f t="shared" ca="1" si="17"/>
        <v>On Time</v>
      </c>
      <c r="N138">
        <f t="shared" si="19"/>
        <v>0</v>
      </c>
      <c r="O138" t="str" cm="1">
        <f t="array" aca="1" ref="O138" ca="1">_xlfn.IFS(
L138&lt;=0,"Not Due",
L138&lt;=30,"0–30 Days",
L138&lt;=60,"31–60 Days",
L138&lt;=90,"61–90 Days",
L138&lt;=180,"91–180 Days",
L138&lt;=365,"181–365 Days",
L138&gt;365,"365+ Days (High Risk)"
)</f>
        <v>Not Due</v>
      </c>
      <c r="P138">
        <f t="shared" si="20"/>
        <v>1113.25</v>
      </c>
      <c r="Q138" s="3">
        <f t="shared" ca="1" si="18"/>
        <v>0</v>
      </c>
    </row>
    <row r="139" spans="1:17" x14ac:dyDescent="0.25">
      <c r="A139" t="s">
        <v>143</v>
      </c>
      <c r="B139" t="s">
        <v>908</v>
      </c>
      <c r="C139" s="1">
        <v>45745</v>
      </c>
      <c r="D139" s="1">
        <v>45790</v>
      </c>
      <c r="E139">
        <v>1115.26</v>
      </c>
      <c r="F139" t="s">
        <v>912</v>
      </c>
      <c r="G139" t="s">
        <v>917</v>
      </c>
      <c r="I139" t="s">
        <v>919</v>
      </c>
      <c r="J139" t="b">
        <f t="shared" si="14"/>
        <v>1</v>
      </c>
      <c r="K139" s="3">
        <f t="shared" ca="1" si="15"/>
        <v>306</v>
      </c>
      <c r="L139" s="3">
        <f t="shared" ca="1" si="16"/>
        <v>261</v>
      </c>
      <c r="M139" t="str">
        <f t="shared" ca="1" si="17"/>
        <v>Overdue</v>
      </c>
      <c r="N139">
        <f t="shared" si="19"/>
        <v>1115.26</v>
      </c>
      <c r="O139" t="str" cm="1">
        <f t="array" aca="1" ref="O139" ca="1">_xlfn.IFS(
L139&lt;=0,"Not Due",
L139&lt;=30,"0–30 Days",
L139&lt;=60,"31–60 Days",
L139&lt;=90,"61–90 Days",
L139&lt;=180,"91–180 Days",
L139&lt;=365,"181–365 Days",
L139&gt;365,"365+ Days (High Risk)"
)</f>
        <v>181–365 Days</v>
      </c>
      <c r="P139">
        <f t="shared" si="20"/>
        <v>0</v>
      </c>
      <c r="Q139" s="3">
        <f t="shared" ca="1" si="18"/>
        <v>1115.26</v>
      </c>
    </row>
    <row r="140" spans="1:17" x14ac:dyDescent="0.25">
      <c r="A140" t="s">
        <v>144</v>
      </c>
      <c r="B140" t="s">
        <v>910</v>
      </c>
      <c r="C140" s="1">
        <v>45410</v>
      </c>
      <c r="D140" s="1">
        <v>45455</v>
      </c>
      <c r="E140">
        <v>2676.36</v>
      </c>
      <c r="F140" t="s">
        <v>912</v>
      </c>
      <c r="G140" t="s">
        <v>918</v>
      </c>
      <c r="H140" s="1">
        <v>45455</v>
      </c>
      <c r="I140" t="s">
        <v>919</v>
      </c>
      <c r="J140" t="b">
        <f t="shared" si="14"/>
        <v>0</v>
      </c>
      <c r="K140" s="3">
        <f t="shared" ca="1" si="15"/>
        <v>45</v>
      </c>
      <c r="L140" s="3">
        <f t="shared" ca="1" si="16"/>
        <v>0</v>
      </c>
      <c r="M140" t="str">
        <f t="shared" ca="1" si="17"/>
        <v>On Time</v>
      </c>
      <c r="N140">
        <f t="shared" si="19"/>
        <v>0</v>
      </c>
      <c r="O140" t="str" cm="1">
        <f t="array" aca="1" ref="O140" ca="1">_xlfn.IFS(
L140&lt;=0,"Not Due",
L140&lt;=30,"0–30 Days",
L140&lt;=60,"31–60 Days",
L140&lt;=90,"61–90 Days",
L140&lt;=180,"91–180 Days",
L140&lt;=365,"181–365 Days",
L140&gt;365,"365+ Days (High Risk)"
)</f>
        <v>Not Due</v>
      </c>
      <c r="P140">
        <f t="shared" si="20"/>
        <v>2676.36</v>
      </c>
      <c r="Q140" s="3">
        <f t="shared" ca="1" si="18"/>
        <v>0</v>
      </c>
    </row>
    <row r="141" spans="1:17" x14ac:dyDescent="0.25">
      <c r="A141" t="s">
        <v>145</v>
      </c>
      <c r="B141" t="s">
        <v>908</v>
      </c>
      <c r="C141" s="1">
        <v>45186</v>
      </c>
      <c r="D141" s="1">
        <v>45231</v>
      </c>
      <c r="E141">
        <v>2786.7</v>
      </c>
      <c r="F141" t="s">
        <v>914</v>
      </c>
      <c r="G141" t="s">
        <v>916</v>
      </c>
      <c r="I141" t="s">
        <v>919</v>
      </c>
      <c r="J141" t="b">
        <f t="shared" si="14"/>
        <v>1</v>
      </c>
      <c r="K141" s="3">
        <f t="shared" ca="1" si="15"/>
        <v>865</v>
      </c>
      <c r="L141" s="3">
        <f t="shared" ca="1" si="16"/>
        <v>820</v>
      </c>
      <c r="M141" t="str">
        <f t="shared" ca="1" si="17"/>
        <v>Overdue</v>
      </c>
      <c r="N141">
        <f t="shared" si="19"/>
        <v>2786.7</v>
      </c>
      <c r="O141" t="str" cm="1">
        <f t="array" aca="1" ref="O141" ca="1">_xlfn.IFS(
L141&lt;=0,"Not Due",
L141&lt;=30,"0–30 Days",
L141&lt;=60,"31–60 Days",
L141&lt;=90,"61–90 Days",
L141&lt;=180,"91–180 Days",
L141&lt;=365,"181–365 Days",
L141&gt;365,"365+ Days (High Risk)"
)</f>
        <v>365+ Days (High Risk)</v>
      </c>
      <c r="P141">
        <f t="shared" si="20"/>
        <v>0</v>
      </c>
      <c r="Q141" s="3">
        <f t="shared" ca="1" si="18"/>
        <v>2786.7</v>
      </c>
    </row>
    <row r="142" spans="1:17" x14ac:dyDescent="0.25">
      <c r="A142" t="s">
        <v>146</v>
      </c>
      <c r="B142" t="s">
        <v>906</v>
      </c>
      <c r="C142" s="1">
        <v>45821</v>
      </c>
      <c r="D142" s="1">
        <v>45866</v>
      </c>
      <c r="E142">
        <v>4407.9399999999996</v>
      </c>
      <c r="F142" t="s">
        <v>915</v>
      </c>
      <c r="G142" t="s">
        <v>917</v>
      </c>
      <c r="I142" t="s">
        <v>919</v>
      </c>
      <c r="J142" t="b">
        <f t="shared" si="14"/>
        <v>1</v>
      </c>
      <c r="K142" s="3">
        <f t="shared" ca="1" si="15"/>
        <v>230</v>
      </c>
      <c r="L142" s="3">
        <f t="shared" ca="1" si="16"/>
        <v>185</v>
      </c>
      <c r="M142" t="str">
        <f t="shared" ca="1" si="17"/>
        <v>Overdue</v>
      </c>
      <c r="N142">
        <f t="shared" si="19"/>
        <v>4407.9399999999996</v>
      </c>
      <c r="O142" t="str" cm="1">
        <f t="array" aca="1" ref="O142" ca="1">_xlfn.IFS(
L142&lt;=0,"Not Due",
L142&lt;=30,"0–30 Days",
L142&lt;=60,"31–60 Days",
L142&lt;=90,"61–90 Days",
L142&lt;=180,"91–180 Days",
L142&lt;=365,"181–365 Days",
L142&gt;365,"365+ Days (High Risk)"
)</f>
        <v>181–365 Days</v>
      </c>
      <c r="P142">
        <f t="shared" si="20"/>
        <v>0</v>
      </c>
      <c r="Q142" s="3">
        <f t="shared" ca="1" si="18"/>
        <v>4407.9399999999996</v>
      </c>
    </row>
    <row r="143" spans="1:17" x14ac:dyDescent="0.25">
      <c r="A143" t="s">
        <v>147</v>
      </c>
      <c r="B143" t="s">
        <v>906</v>
      </c>
      <c r="C143" s="1">
        <v>45587</v>
      </c>
      <c r="D143" s="1">
        <v>45632</v>
      </c>
      <c r="E143">
        <v>4894.13</v>
      </c>
      <c r="F143" t="s">
        <v>911</v>
      </c>
      <c r="G143" t="s">
        <v>916</v>
      </c>
      <c r="I143" t="s">
        <v>919</v>
      </c>
      <c r="J143" t="b">
        <f t="shared" si="14"/>
        <v>1</v>
      </c>
      <c r="K143" s="3">
        <f t="shared" ca="1" si="15"/>
        <v>464</v>
      </c>
      <c r="L143" s="3">
        <f t="shared" ca="1" si="16"/>
        <v>419</v>
      </c>
      <c r="M143" t="str">
        <f t="shared" ca="1" si="17"/>
        <v>Overdue</v>
      </c>
      <c r="N143">
        <f t="shared" si="19"/>
        <v>4894.13</v>
      </c>
      <c r="O143" t="str" cm="1">
        <f t="array" aca="1" ref="O143" ca="1">_xlfn.IFS(
L143&lt;=0,"Not Due",
L143&lt;=30,"0–30 Days",
L143&lt;=60,"31–60 Days",
L143&lt;=90,"61–90 Days",
L143&lt;=180,"91–180 Days",
L143&lt;=365,"181–365 Days",
L143&gt;365,"365+ Days (High Risk)"
)</f>
        <v>365+ Days (High Risk)</v>
      </c>
      <c r="P143">
        <f t="shared" si="20"/>
        <v>0</v>
      </c>
      <c r="Q143" s="3">
        <f t="shared" ca="1" si="18"/>
        <v>4894.13</v>
      </c>
    </row>
    <row r="144" spans="1:17" x14ac:dyDescent="0.25">
      <c r="A144" t="s">
        <v>148</v>
      </c>
      <c r="B144" t="s">
        <v>908</v>
      </c>
      <c r="C144" s="1">
        <v>45787</v>
      </c>
      <c r="D144" s="1">
        <v>45832</v>
      </c>
      <c r="E144">
        <v>6832.48</v>
      </c>
      <c r="F144" t="s">
        <v>913</v>
      </c>
      <c r="G144" t="s">
        <v>917</v>
      </c>
      <c r="I144" t="s">
        <v>919</v>
      </c>
      <c r="J144" t="b">
        <f t="shared" si="14"/>
        <v>1</v>
      </c>
      <c r="K144" s="3">
        <f t="shared" ca="1" si="15"/>
        <v>264</v>
      </c>
      <c r="L144" s="3">
        <f t="shared" ca="1" si="16"/>
        <v>219</v>
      </c>
      <c r="M144" t="str">
        <f t="shared" ca="1" si="17"/>
        <v>Overdue</v>
      </c>
      <c r="N144">
        <f t="shared" si="19"/>
        <v>6832.48</v>
      </c>
      <c r="O144" t="str" cm="1">
        <f t="array" aca="1" ref="O144" ca="1">_xlfn.IFS(
L144&lt;=0,"Not Due",
L144&lt;=30,"0–30 Days",
L144&lt;=60,"31–60 Days",
L144&lt;=90,"61–90 Days",
L144&lt;=180,"91–180 Days",
L144&lt;=365,"181–365 Days",
L144&gt;365,"365+ Days (High Risk)"
)</f>
        <v>181–365 Days</v>
      </c>
      <c r="P144">
        <f t="shared" si="20"/>
        <v>0</v>
      </c>
      <c r="Q144" s="3">
        <f t="shared" ca="1" si="18"/>
        <v>6832.48</v>
      </c>
    </row>
    <row r="145" spans="1:17" x14ac:dyDescent="0.25">
      <c r="A145" t="s">
        <v>149</v>
      </c>
      <c r="B145" t="s">
        <v>906</v>
      </c>
      <c r="C145" s="1">
        <v>45539</v>
      </c>
      <c r="D145" s="1">
        <v>45584</v>
      </c>
      <c r="E145">
        <v>2060.19</v>
      </c>
      <c r="F145" t="s">
        <v>914</v>
      </c>
      <c r="G145" t="s">
        <v>917</v>
      </c>
      <c r="I145" t="s">
        <v>919</v>
      </c>
      <c r="J145" t="b">
        <f t="shared" si="14"/>
        <v>1</v>
      </c>
      <c r="K145" s="3">
        <f t="shared" ca="1" si="15"/>
        <v>512</v>
      </c>
      <c r="L145" s="3">
        <f t="shared" ca="1" si="16"/>
        <v>467</v>
      </c>
      <c r="M145" t="str">
        <f t="shared" ca="1" si="17"/>
        <v>Overdue</v>
      </c>
      <c r="N145">
        <f t="shared" si="19"/>
        <v>2060.19</v>
      </c>
      <c r="O145" t="str" cm="1">
        <f t="array" aca="1" ref="O145" ca="1">_xlfn.IFS(
L145&lt;=0,"Not Due",
L145&lt;=30,"0–30 Days",
L145&lt;=60,"31–60 Days",
L145&lt;=90,"61–90 Days",
L145&lt;=180,"91–180 Days",
L145&lt;=365,"181–365 Days",
L145&gt;365,"365+ Days (High Risk)"
)</f>
        <v>365+ Days (High Risk)</v>
      </c>
      <c r="P145">
        <f t="shared" si="20"/>
        <v>0</v>
      </c>
      <c r="Q145" s="3">
        <f t="shared" ca="1" si="18"/>
        <v>2060.19</v>
      </c>
    </row>
    <row r="146" spans="1:17" x14ac:dyDescent="0.25">
      <c r="A146" t="s">
        <v>150</v>
      </c>
      <c r="B146" t="s">
        <v>910</v>
      </c>
      <c r="C146" s="1">
        <v>45764</v>
      </c>
      <c r="D146" s="1">
        <v>45809</v>
      </c>
      <c r="E146">
        <v>6302.98</v>
      </c>
      <c r="F146" t="s">
        <v>913</v>
      </c>
      <c r="G146" t="s">
        <v>917</v>
      </c>
      <c r="I146" t="s">
        <v>919</v>
      </c>
      <c r="J146" t="b">
        <f t="shared" si="14"/>
        <v>1</v>
      </c>
      <c r="K146" s="3">
        <f t="shared" ca="1" si="15"/>
        <v>287</v>
      </c>
      <c r="L146" s="3">
        <f t="shared" ca="1" si="16"/>
        <v>242</v>
      </c>
      <c r="M146" t="str">
        <f t="shared" ca="1" si="17"/>
        <v>Overdue</v>
      </c>
      <c r="N146">
        <f t="shared" si="19"/>
        <v>6302.98</v>
      </c>
      <c r="O146" t="str" cm="1">
        <f t="array" aca="1" ref="O146" ca="1">_xlfn.IFS(
L146&lt;=0,"Not Due",
L146&lt;=30,"0–30 Days",
L146&lt;=60,"31–60 Days",
L146&lt;=90,"61–90 Days",
L146&lt;=180,"91–180 Days",
L146&lt;=365,"181–365 Days",
L146&gt;365,"365+ Days (High Risk)"
)</f>
        <v>181–365 Days</v>
      </c>
      <c r="P146">
        <f t="shared" si="20"/>
        <v>0</v>
      </c>
      <c r="Q146" s="3">
        <f t="shared" ca="1" si="18"/>
        <v>6302.98</v>
      </c>
    </row>
    <row r="147" spans="1:17" x14ac:dyDescent="0.25">
      <c r="A147" t="s">
        <v>151</v>
      </c>
      <c r="B147" t="s">
        <v>910</v>
      </c>
      <c r="C147" s="1">
        <v>45149</v>
      </c>
      <c r="D147" s="1">
        <v>45194</v>
      </c>
      <c r="E147">
        <v>6748</v>
      </c>
      <c r="F147" t="s">
        <v>915</v>
      </c>
      <c r="G147" t="s">
        <v>916</v>
      </c>
      <c r="I147" t="s">
        <v>919</v>
      </c>
      <c r="J147" t="b">
        <f t="shared" si="14"/>
        <v>1</v>
      </c>
      <c r="K147" s="3">
        <f t="shared" ca="1" si="15"/>
        <v>902</v>
      </c>
      <c r="L147" s="3">
        <f t="shared" ca="1" si="16"/>
        <v>857</v>
      </c>
      <c r="M147" t="str">
        <f t="shared" ca="1" si="17"/>
        <v>Overdue</v>
      </c>
      <c r="N147">
        <f t="shared" si="19"/>
        <v>6748</v>
      </c>
      <c r="O147" t="str" cm="1">
        <f t="array" aca="1" ref="O147" ca="1">_xlfn.IFS(
L147&lt;=0,"Not Due",
L147&lt;=30,"0–30 Days",
L147&lt;=60,"31–60 Days",
L147&lt;=90,"61–90 Days",
L147&lt;=180,"91–180 Days",
L147&lt;=365,"181–365 Days",
L147&gt;365,"365+ Days (High Risk)"
)</f>
        <v>365+ Days (High Risk)</v>
      </c>
      <c r="P147">
        <f t="shared" si="20"/>
        <v>0</v>
      </c>
      <c r="Q147" s="3">
        <f t="shared" ca="1" si="18"/>
        <v>6748</v>
      </c>
    </row>
    <row r="148" spans="1:17" x14ac:dyDescent="0.25">
      <c r="A148" t="s">
        <v>152</v>
      </c>
      <c r="B148" t="s">
        <v>909</v>
      </c>
      <c r="C148" s="1">
        <v>45579</v>
      </c>
      <c r="D148" s="1">
        <v>45624</v>
      </c>
      <c r="E148">
        <v>7996.24</v>
      </c>
      <c r="F148" t="s">
        <v>914</v>
      </c>
      <c r="G148" t="s">
        <v>916</v>
      </c>
      <c r="I148" t="s">
        <v>919</v>
      </c>
      <c r="J148" t="b">
        <f t="shared" si="14"/>
        <v>1</v>
      </c>
      <c r="K148" s="3">
        <f t="shared" ca="1" si="15"/>
        <v>472</v>
      </c>
      <c r="L148" s="3">
        <f t="shared" ca="1" si="16"/>
        <v>427</v>
      </c>
      <c r="M148" t="str">
        <f t="shared" ca="1" si="17"/>
        <v>Overdue</v>
      </c>
      <c r="N148">
        <f t="shared" si="19"/>
        <v>7996.24</v>
      </c>
      <c r="O148" t="str" cm="1">
        <f t="array" aca="1" ref="O148" ca="1">_xlfn.IFS(
L148&lt;=0,"Not Due",
L148&lt;=30,"0–30 Days",
L148&lt;=60,"31–60 Days",
L148&lt;=90,"61–90 Days",
L148&lt;=180,"91–180 Days",
L148&lt;=365,"181–365 Days",
L148&gt;365,"365+ Days (High Risk)"
)</f>
        <v>365+ Days (High Risk)</v>
      </c>
      <c r="P148">
        <f t="shared" si="20"/>
        <v>0</v>
      </c>
      <c r="Q148" s="3">
        <f t="shared" ca="1" si="18"/>
        <v>7996.24</v>
      </c>
    </row>
    <row r="149" spans="1:17" x14ac:dyDescent="0.25">
      <c r="A149" t="s">
        <v>153</v>
      </c>
      <c r="B149" t="s">
        <v>908</v>
      </c>
      <c r="C149" s="1">
        <v>45684</v>
      </c>
      <c r="D149" s="1">
        <v>45729</v>
      </c>
      <c r="E149">
        <v>1809.76</v>
      </c>
      <c r="F149" t="s">
        <v>915</v>
      </c>
      <c r="G149" t="s">
        <v>918</v>
      </c>
      <c r="H149" s="1">
        <v>45729</v>
      </c>
      <c r="I149" t="s">
        <v>919</v>
      </c>
      <c r="J149" t="b">
        <f t="shared" si="14"/>
        <v>0</v>
      </c>
      <c r="K149" s="3">
        <f t="shared" ca="1" si="15"/>
        <v>45</v>
      </c>
      <c r="L149" s="3">
        <f t="shared" ca="1" si="16"/>
        <v>0</v>
      </c>
      <c r="M149" t="str">
        <f t="shared" ca="1" si="17"/>
        <v>On Time</v>
      </c>
      <c r="N149">
        <f t="shared" si="19"/>
        <v>0</v>
      </c>
      <c r="O149" t="str" cm="1">
        <f t="array" aca="1" ref="O149" ca="1">_xlfn.IFS(
L149&lt;=0,"Not Due",
L149&lt;=30,"0–30 Days",
L149&lt;=60,"31–60 Days",
L149&lt;=90,"61–90 Days",
L149&lt;=180,"91–180 Days",
L149&lt;=365,"181–365 Days",
L149&gt;365,"365+ Days (High Risk)"
)</f>
        <v>Not Due</v>
      </c>
      <c r="P149">
        <f t="shared" si="20"/>
        <v>1809.76</v>
      </c>
      <c r="Q149" s="3">
        <f t="shared" ca="1" si="18"/>
        <v>0</v>
      </c>
    </row>
    <row r="150" spans="1:17" x14ac:dyDescent="0.25">
      <c r="A150" t="s">
        <v>154</v>
      </c>
      <c r="B150" t="s">
        <v>906</v>
      </c>
      <c r="C150" s="1">
        <v>45750</v>
      </c>
      <c r="D150" s="1">
        <v>45795</v>
      </c>
      <c r="E150">
        <v>6175.65</v>
      </c>
      <c r="F150" t="s">
        <v>914</v>
      </c>
      <c r="G150" t="s">
        <v>916</v>
      </c>
      <c r="I150" t="s">
        <v>919</v>
      </c>
      <c r="J150" t="b">
        <f t="shared" si="14"/>
        <v>1</v>
      </c>
      <c r="K150" s="3">
        <f t="shared" ca="1" si="15"/>
        <v>301</v>
      </c>
      <c r="L150" s="3">
        <f t="shared" ca="1" si="16"/>
        <v>256</v>
      </c>
      <c r="M150" t="str">
        <f t="shared" ca="1" si="17"/>
        <v>Overdue</v>
      </c>
      <c r="N150">
        <f t="shared" si="19"/>
        <v>6175.65</v>
      </c>
      <c r="O150" t="str" cm="1">
        <f t="array" aca="1" ref="O150" ca="1">_xlfn.IFS(
L150&lt;=0,"Not Due",
L150&lt;=30,"0–30 Days",
L150&lt;=60,"31–60 Days",
L150&lt;=90,"61–90 Days",
L150&lt;=180,"91–180 Days",
L150&lt;=365,"181–365 Days",
L150&gt;365,"365+ Days (High Risk)"
)</f>
        <v>181–365 Days</v>
      </c>
      <c r="P150">
        <f t="shared" si="20"/>
        <v>0</v>
      </c>
      <c r="Q150" s="3">
        <f t="shared" ca="1" si="18"/>
        <v>6175.65</v>
      </c>
    </row>
    <row r="151" spans="1:17" x14ac:dyDescent="0.25">
      <c r="A151" t="s">
        <v>155</v>
      </c>
      <c r="B151" t="s">
        <v>909</v>
      </c>
      <c r="C151" s="1">
        <v>45546</v>
      </c>
      <c r="D151" s="1">
        <v>45591</v>
      </c>
      <c r="E151">
        <v>1636.23</v>
      </c>
      <c r="F151" t="s">
        <v>915</v>
      </c>
      <c r="G151" t="s">
        <v>917</v>
      </c>
      <c r="I151" t="s">
        <v>919</v>
      </c>
      <c r="J151" t="b">
        <f t="shared" si="14"/>
        <v>1</v>
      </c>
      <c r="K151" s="3">
        <f t="shared" ca="1" si="15"/>
        <v>505</v>
      </c>
      <c r="L151" s="3">
        <f t="shared" ca="1" si="16"/>
        <v>460</v>
      </c>
      <c r="M151" t="str">
        <f t="shared" ca="1" si="17"/>
        <v>Overdue</v>
      </c>
      <c r="N151">
        <f t="shared" si="19"/>
        <v>1636.23</v>
      </c>
      <c r="O151" t="str" cm="1">
        <f t="array" aca="1" ref="O151" ca="1">_xlfn.IFS(
L151&lt;=0,"Not Due",
L151&lt;=30,"0–30 Days",
L151&lt;=60,"31–60 Days",
L151&lt;=90,"61–90 Days",
L151&lt;=180,"91–180 Days",
L151&lt;=365,"181–365 Days",
L151&gt;365,"365+ Days (High Risk)"
)</f>
        <v>365+ Days (High Risk)</v>
      </c>
      <c r="P151">
        <f t="shared" si="20"/>
        <v>0</v>
      </c>
      <c r="Q151" s="3">
        <f t="shared" ca="1" si="18"/>
        <v>1636.23</v>
      </c>
    </row>
    <row r="152" spans="1:17" x14ac:dyDescent="0.25">
      <c r="A152" t="s">
        <v>156</v>
      </c>
      <c r="B152" t="s">
        <v>910</v>
      </c>
      <c r="C152" s="1">
        <v>45553</v>
      </c>
      <c r="D152" s="1">
        <v>45598</v>
      </c>
      <c r="E152">
        <v>7573.95</v>
      </c>
      <c r="F152" t="s">
        <v>913</v>
      </c>
      <c r="G152" t="s">
        <v>918</v>
      </c>
      <c r="H152" s="1">
        <v>45598</v>
      </c>
      <c r="I152" t="s">
        <v>919</v>
      </c>
      <c r="J152" t="b">
        <f t="shared" si="14"/>
        <v>0</v>
      </c>
      <c r="K152" s="3">
        <f t="shared" ca="1" si="15"/>
        <v>45</v>
      </c>
      <c r="L152" s="3">
        <f t="shared" ca="1" si="16"/>
        <v>0</v>
      </c>
      <c r="M152" t="str">
        <f t="shared" ca="1" si="17"/>
        <v>On Time</v>
      </c>
      <c r="N152">
        <f t="shared" si="19"/>
        <v>0</v>
      </c>
      <c r="O152" t="str" cm="1">
        <f t="array" aca="1" ref="O152" ca="1">_xlfn.IFS(
L152&lt;=0,"Not Due",
L152&lt;=30,"0–30 Days",
L152&lt;=60,"31–60 Days",
L152&lt;=90,"61–90 Days",
L152&lt;=180,"91–180 Days",
L152&lt;=365,"181–365 Days",
L152&gt;365,"365+ Days (High Risk)"
)</f>
        <v>Not Due</v>
      </c>
      <c r="P152">
        <f t="shared" si="20"/>
        <v>7573.95</v>
      </c>
      <c r="Q152" s="3">
        <f t="shared" ca="1" si="18"/>
        <v>0</v>
      </c>
    </row>
    <row r="153" spans="1:17" x14ac:dyDescent="0.25">
      <c r="A153" t="s">
        <v>157</v>
      </c>
      <c r="B153" t="s">
        <v>909</v>
      </c>
      <c r="C153" s="1">
        <v>45091</v>
      </c>
      <c r="D153" s="1">
        <v>45136</v>
      </c>
      <c r="E153">
        <v>1194.4100000000001</v>
      </c>
      <c r="F153" t="s">
        <v>911</v>
      </c>
      <c r="G153" t="s">
        <v>917</v>
      </c>
      <c r="I153" t="s">
        <v>919</v>
      </c>
      <c r="J153" t="b">
        <f t="shared" si="14"/>
        <v>1</v>
      </c>
      <c r="K153" s="3">
        <f t="shared" ca="1" si="15"/>
        <v>960</v>
      </c>
      <c r="L153" s="3">
        <f t="shared" ca="1" si="16"/>
        <v>915</v>
      </c>
      <c r="M153" t="str">
        <f t="shared" ca="1" si="17"/>
        <v>Overdue</v>
      </c>
      <c r="N153">
        <f t="shared" si="19"/>
        <v>1194.4100000000001</v>
      </c>
      <c r="O153" t="str" cm="1">
        <f t="array" aca="1" ref="O153" ca="1">_xlfn.IFS(
L153&lt;=0,"Not Due",
L153&lt;=30,"0–30 Days",
L153&lt;=60,"31–60 Days",
L153&lt;=90,"61–90 Days",
L153&lt;=180,"91–180 Days",
L153&lt;=365,"181–365 Days",
L153&gt;365,"365+ Days (High Risk)"
)</f>
        <v>365+ Days (High Risk)</v>
      </c>
      <c r="P153">
        <f t="shared" si="20"/>
        <v>0</v>
      </c>
      <c r="Q153" s="3">
        <f t="shared" ca="1" si="18"/>
        <v>1194.4100000000001</v>
      </c>
    </row>
    <row r="154" spans="1:17" x14ac:dyDescent="0.25">
      <c r="A154" t="s">
        <v>158</v>
      </c>
      <c r="B154" t="s">
        <v>906</v>
      </c>
      <c r="C154" s="1">
        <v>45152</v>
      </c>
      <c r="D154" s="1">
        <v>45197</v>
      </c>
      <c r="E154">
        <v>3323.19</v>
      </c>
      <c r="F154" t="s">
        <v>912</v>
      </c>
      <c r="G154" t="s">
        <v>918</v>
      </c>
      <c r="H154" s="1">
        <v>45197</v>
      </c>
      <c r="I154" t="s">
        <v>919</v>
      </c>
      <c r="J154" t="b">
        <f t="shared" si="14"/>
        <v>0</v>
      </c>
      <c r="K154" s="3">
        <f t="shared" ca="1" si="15"/>
        <v>45</v>
      </c>
      <c r="L154" s="3">
        <f t="shared" ca="1" si="16"/>
        <v>0</v>
      </c>
      <c r="M154" t="str">
        <f t="shared" ca="1" si="17"/>
        <v>On Time</v>
      </c>
      <c r="N154">
        <f t="shared" si="19"/>
        <v>0</v>
      </c>
      <c r="O154" t="str" cm="1">
        <f t="array" aca="1" ref="O154" ca="1">_xlfn.IFS(
L154&lt;=0,"Not Due",
L154&lt;=30,"0–30 Days",
L154&lt;=60,"31–60 Days",
L154&lt;=90,"61–90 Days",
L154&lt;=180,"91–180 Days",
L154&lt;=365,"181–365 Days",
L154&gt;365,"365+ Days (High Risk)"
)</f>
        <v>Not Due</v>
      </c>
      <c r="P154">
        <f t="shared" si="20"/>
        <v>3323.19</v>
      </c>
      <c r="Q154" s="3">
        <f t="shared" ca="1" si="18"/>
        <v>0</v>
      </c>
    </row>
    <row r="155" spans="1:17" x14ac:dyDescent="0.25">
      <c r="A155" t="s">
        <v>159</v>
      </c>
      <c r="B155" t="s">
        <v>908</v>
      </c>
      <c r="C155" s="1">
        <v>45627</v>
      </c>
      <c r="D155" s="1">
        <v>45672</v>
      </c>
      <c r="E155">
        <v>426.96</v>
      </c>
      <c r="F155" t="s">
        <v>914</v>
      </c>
      <c r="G155" t="s">
        <v>917</v>
      </c>
      <c r="I155" t="s">
        <v>919</v>
      </c>
      <c r="J155" t="b">
        <f t="shared" si="14"/>
        <v>1</v>
      </c>
      <c r="K155" s="3">
        <f t="shared" ca="1" si="15"/>
        <v>424</v>
      </c>
      <c r="L155" s="3">
        <f t="shared" ca="1" si="16"/>
        <v>379</v>
      </c>
      <c r="M155" t="str">
        <f t="shared" ca="1" si="17"/>
        <v>Overdue</v>
      </c>
      <c r="N155">
        <f t="shared" si="19"/>
        <v>426.96</v>
      </c>
      <c r="O155" t="str" cm="1">
        <f t="array" aca="1" ref="O155" ca="1">_xlfn.IFS(
L155&lt;=0,"Not Due",
L155&lt;=30,"0–30 Days",
L155&lt;=60,"31–60 Days",
L155&lt;=90,"61–90 Days",
L155&lt;=180,"91–180 Days",
L155&lt;=365,"181–365 Days",
L155&gt;365,"365+ Days (High Risk)"
)</f>
        <v>365+ Days (High Risk)</v>
      </c>
      <c r="P155">
        <f t="shared" si="20"/>
        <v>0</v>
      </c>
      <c r="Q155" s="3">
        <f t="shared" ca="1" si="18"/>
        <v>426.96</v>
      </c>
    </row>
    <row r="156" spans="1:17" x14ac:dyDescent="0.25">
      <c r="A156" t="s">
        <v>160</v>
      </c>
      <c r="B156" t="s">
        <v>910</v>
      </c>
      <c r="C156" s="1">
        <v>45784</v>
      </c>
      <c r="D156" s="1">
        <v>45829</v>
      </c>
      <c r="E156">
        <v>3349.63</v>
      </c>
      <c r="F156" t="s">
        <v>912</v>
      </c>
      <c r="G156" t="s">
        <v>916</v>
      </c>
      <c r="I156" t="s">
        <v>919</v>
      </c>
      <c r="J156" t="b">
        <f t="shared" si="14"/>
        <v>1</v>
      </c>
      <c r="K156" s="3">
        <f t="shared" ca="1" si="15"/>
        <v>267</v>
      </c>
      <c r="L156" s="3">
        <f t="shared" ca="1" si="16"/>
        <v>222</v>
      </c>
      <c r="M156" t="str">
        <f t="shared" ca="1" si="17"/>
        <v>Overdue</v>
      </c>
      <c r="N156">
        <f t="shared" si="19"/>
        <v>3349.63</v>
      </c>
      <c r="O156" t="str" cm="1">
        <f t="array" aca="1" ref="O156" ca="1">_xlfn.IFS(
L156&lt;=0,"Not Due",
L156&lt;=30,"0–30 Days",
L156&lt;=60,"31–60 Days",
L156&lt;=90,"61–90 Days",
L156&lt;=180,"91–180 Days",
L156&lt;=365,"181–365 Days",
L156&gt;365,"365+ Days (High Risk)"
)</f>
        <v>181–365 Days</v>
      </c>
      <c r="P156">
        <f t="shared" si="20"/>
        <v>0</v>
      </c>
      <c r="Q156" s="3">
        <f t="shared" ca="1" si="18"/>
        <v>3349.63</v>
      </c>
    </row>
    <row r="157" spans="1:17" x14ac:dyDescent="0.25">
      <c r="A157" t="s">
        <v>161</v>
      </c>
      <c r="B157" t="s">
        <v>907</v>
      </c>
      <c r="C157" s="1">
        <v>45074</v>
      </c>
      <c r="D157" s="1">
        <v>45119</v>
      </c>
      <c r="E157">
        <v>2205.42</v>
      </c>
      <c r="F157" t="s">
        <v>915</v>
      </c>
      <c r="G157" t="s">
        <v>918</v>
      </c>
      <c r="H157" s="1">
        <v>45119</v>
      </c>
      <c r="I157" t="s">
        <v>919</v>
      </c>
      <c r="J157" t="b">
        <f t="shared" si="14"/>
        <v>0</v>
      </c>
      <c r="K157" s="3">
        <f t="shared" ca="1" si="15"/>
        <v>45</v>
      </c>
      <c r="L157" s="3">
        <f t="shared" ca="1" si="16"/>
        <v>0</v>
      </c>
      <c r="M157" t="str">
        <f t="shared" ca="1" si="17"/>
        <v>On Time</v>
      </c>
      <c r="N157">
        <f t="shared" si="19"/>
        <v>0</v>
      </c>
      <c r="O157" t="str" cm="1">
        <f t="array" aca="1" ref="O157" ca="1">_xlfn.IFS(
L157&lt;=0,"Not Due",
L157&lt;=30,"0–30 Days",
L157&lt;=60,"31–60 Days",
L157&lt;=90,"61–90 Days",
L157&lt;=180,"91–180 Days",
L157&lt;=365,"181–365 Days",
L157&gt;365,"365+ Days (High Risk)"
)</f>
        <v>Not Due</v>
      </c>
      <c r="P157">
        <f t="shared" si="20"/>
        <v>2205.42</v>
      </c>
      <c r="Q157" s="3">
        <f t="shared" ca="1" si="18"/>
        <v>0</v>
      </c>
    </row>
    <row r="158" spans="1:17" x14ac:dyDescent="0.25">
      <c r="A158" t="s">
        <v>162</v>
      </c>
      <c r="B158" t="s">
        <v>910</v>
      </c>
      <c r="C158" s="1">
        <v>45049</v>
      </c>
      <c r="D158" s="1">
        <v>45094</v>
      </c>
      <c r="E158">
        <v>3681.26</v>
      </c>
      <c r="F158" t="s">
        <v>915</v>
      </c>
      <c r="G158" t="s">
        <v>916</v>
      </c>
      <c r="I158" t="s">
        <v>919</v>
      </c>
      <c r="J158" t="b">
        <f t="shared" si="14"/>
        <v>1</v>
      </c>
      <c r="K158" s="3">
        <f t="shared" ca="1" si="15"/>
        <v>1002</v>
      </c>
      <c r="L158" s="3">
        <f t="shared" ca="1" si="16"/>
        <v>957</v>
      </c>
      <c r="M158" t="str">
        <f t="shared" ca="1" si="17"/>
        <v>Overdue</v>
      </c>
      <c r="N158">
        <f t="shared" si="19"/>
        <v>3681.26</v>
      </c>
      <c r="O158" t="str" cm="1">
        <f t="array" aca="1" ref="O158" ca="1">_xlfn.IFS(
L158&lt;=0,"Not Due",
L158&lt;=30,"0–30 Days",
L158&lt;=60,"31–60 Days",
L158&lt;=90,"61–90 Days",
L158&lt;=180,"91–180 Days",
L158&lt;=365,"181–365 Days",
L158&gt;365,"365+ Days (High Risk)"
)</f>
        <v>365+ Days (High Risk)</v>
      </c>
      <c r="P158">
        <f t="shared" si="20"/>
        <v>0</v>
      </c>
      <c r="Q158" s="3">
        <f t="shared" ca="1" si="18"/>
        <v>3681.26</v>
      </c>
    </row>
    <row r="159" spans="1:17" x14ac:dyDescent="0.25">
      <c r="A159" t="s">
        <v>163</v>
      </c>
      <c r="B159" t="s">
        <v>910</v>
      </c>
      <c r="C159" s="1">
        <v>45488</v>
      </c>
      <c r="D159" s="1">
        <v>45533</v>
      </c>
      <c r="E159">
        <v>4481.24</v>
      </c>
      <c r="F159" t="s">
        <v>913</v>
      </c>
      <c r="G159" t="s">
        <v>918</v>
      </c>
      <c r="H159" s="1">
        <v>45533</v>
      </c>
      <c r="I159" t="s">
        <v>919</v>
      </c>
      <c r="J159" t="b">
        <f t="shared" si="14"/>
        <v>0</v>
      </c>
      <c r="K159" s="3">
        <f t="shared" ca="1" si="15"/>
        <v>45</v>
      </c>
      <c r="L159" s="3">
        <f t="shared" ca="1" si="16"/>
        <v>0</v>
      </c>
      <c r="M159" t="str">
        <f t="shared" ca="1" si="17"/>
        <v>On Time</v>
      </c>
      <c r="N159">
        <f t="shared" si="19"/>
        <v>0</v>
      </c>
      <c r="O159" t="str" cm="1">
        <f t="array" aca="1" ref="O159" ca="1">_xlfn.IFS(
L159&lt;=0,"Not Due",
L159&lt;=30,"0–30 Days",
L159&lt;=60,"31–60 Days",
L159&lt;=90,"61–90 Days",
L159&lt;=180,"91–180 Days",
L159&lt;=365,"181–365 Days",
L159&gt;365,"365+ Days (High Risk)"
)</f>
        <v>Not Due</v>
      </c>
      <c r="P159">
        <f t="shared" si="20"/>
        <v>4481.24</v>
      </c>
      <c r="Q159" s="3">
        <f t="shared" ca="1" si="18"/>
        <v>0</v>
      </c>
    </row>
    <row r="160" spans="1:17" x14ac:dyDescent="0.25">
      <c r="A160" t="s">
        <v>164</v>
      </c>
      <c r="B160" t="s">
        <v>907</v>
      </c>
      <c r="C160" s="1">
        <v>45694</v>
      </c>
      <c r="D160" s="1">
        <v>45739</v>
      </c>
      <c r="E160">
        <v>6512.91</v>
      </c>
      <c r="F160" t="s">
        <v>914</v>
      </c>
      <c r="G160" t="s">
        <v>917</v>
      </c>
      <c r="I160" t="s">
        <v>919</v>
      </c>
      <c r="J160" t="b">
        <f t="shared" si="14"/>
        <v>1</v>
      </c>
      <c r="K160" s="3">
        <f t="shared" ca="1" si="15"/>
        <v>357</v>
      </c>
      <c r="L160" s="3">
        <f t="shared" ca="1" si="16"/>
        <v>312</v>
      </c>
      <c r="M160" t="str">
        <f t="shared" ca="1" si="17"/>
        <v>Overdue</v>
      </c>
      <c r="N160">
        <f t="shared" si="19"/>
        <v>6512.91</v>
      </c>
      <c r="O160" t="str" cm="1">
        <f t="array" aca="1" ref="O160" ca="1">_xlfn.IFS(
L160&lt;=0,"Not Due",
L160&lt;=30,"0–30 Days",
L160&lt;=60,"31–60 Days",
L160&lt;=90,"61–90 Days",
L160&lt;=180,"91–180 Days",
L160&lt;=365,"181–365 Days",
L160&gt;365,"365+ Days (High Risk)"
)</f>
        <v>181–365 Days</v>
      </c>
      <c r="P160">
        <f t="shared" si="20"/>
        <v>0</v>
      </c>
      <c r="Q160" s="3">
        <f t="shared" ca="1" si="18"/>
        <v>6512.91</v>
      </c>
    </row>
    <row r="161" spans="1:17" x14ac:dyDescent="0.25">
      <c r="A161" t="s">
        <v>165</v>
      </c>
      <c r="B161" t="s">
        <v>908</v>
      </c>
      <c r="C161" s="1">
        <v>45270</v>
      </c>
      <c r="D161" s="1">
        <v>45315</v>
      </c>
      <c r="E161">
        <v>5880.66</v>
      </c>
      <c r="F161" t="s">
        <v>915</v>
      </c>
      <c r="G161" t="s">
        <v>916</v>
      </c>
      <c r="I161" t="s">
        <v>919</v>
      </c>
      <c r="J161" t="b">
        <f t="shared" si="14"/>
        <v>1</v>
      </c>
      <c r="K161" s="3">
        <f t="shared" ca="1" si="15"/>
        <v>781</v>
      </c>
      <c r="L161" s="3">
        <f t="shared" ca="1" si="16"/>
        <v>736</v>
      </c>
      <c r="M161" t="str">
        <f t="shared" ca="1" si="17"/>
        <v>Overdue</v>
      </c>
      <c r="N161">
        <f t="shared" si="19"/>
        <v>5880.66</v>
      </c>
      <c r="O161" t="str" cm="1">
        <f t="array" aca="1" ref="O161" ca="1">_xlfn.IFS(
L161&lt;=0,"Not Due",
L161&lt;=30,"0–30 Days",
L161&lt;=60,"31–60 Days",
L161&lt;=90,"61–90 Days",
L161&lt;=180,"91–180 Days",
L161&lt;=365,"181–365 Days",
L161&gt;365,"365+ Days (High Risk)"
)</f>
        <v>365+ Days (High Risk)</v>
      </c>
      <c r="P161">
        <f t="shared" si="20"/>
        <v>0</v>
      </c>
      <c r="Q161" s="3">
        <f t="shared" ca="1" si="18"/>
        <v>5880.66</v>
      </c>
    </row>
    <row r="162" spans="1:17" x14ac:dyDescent="0.25">
      <c r="A162" t="s">
        <v>166</v>
      </c>
      <c r="B162" t="s">
        <v>907</v>
      </c>
      <c r="C162" s="1">
        <v>45714</v>
      </c>
      <c r="D162" s="1">
        <v>45759</v>
      </c>
      <c r="E162">
        <v>6131.33</v>
      </c>
      <c r="F162" t="s">
        <v>911</v>
      </c>
      <c r="G162" t="s">
        <v>917</v>
      </c>
      <c r="I162" t="s">
        <v>919</v>
      </c>
      <c r="J162" t="b">
        <f t="shared" si="14"/>
        <v>1</v>
      </c>
      <c r="K162" s="3">
        <f t="shared" ca="1" si="15"/>
        <v>337</v>
      </c>
      <c r="L162" s="3">
        <f t="shared" ca="1" si="16"/>
        <v>292</v>
      </c>
      <c r="M162" t="str">
        <f t="shared" ca="1" si="17"/>
        <v>Overdue</v>
      </c>
      <c r="N162">
        <f t="shared" si="19"/>
        <v>6131.33</v>
      </c>
      <c r="O162" t="str" cm="1">
        <f t="array" aca="1" ref="O162" ca="1">_xlfn.IFS(
L162&lt;=0,"Not Due",
L162&lt;=30,"0–30 Days",
L162&lt;=60,"31–60 Days",
L162&lt;=90,"61–90 Days",
L162&lt;=180,"91–180 Days",
L162&lt;=365,"181–365 Days",
L162&gt;365,"365+ Days (High Risk)"
)</f>
        <v>181–365 Days</v>
      </c>
      <c r="P162">
        <f t="shared" si="20"/>
        <v>0</v>
      </c>
      <c r="Q162" s="3">
        <f t="shared" ca="1" si="18"/>
        <v>6131.33</v>
      </c>
    </row>
    <row r="163" spans="1:17" x14ac:dyDescent="0.25">
      <c r="A163" t="s">
        <v>167</v>
      </c>
      <c r="B163" t="s">
        <v>910</v>
      </c>
      <c r="C163" s="1">
        <v>44977</v>
      </c>
      <c r="D163" s="1">
        <v>45022</v>
      </c>
      <c r="E163">
        <v>5140.8500000000004</v>
      </c>
      <c r="F163" t="s">
        <v>914</v>
      </c>
      <c r="G163" t="s">
        <v>916</v>
      </c>
      <c r="I163" t="s">
        <v>919</v>
      </c>
      <c r="J163" t="b">
        <f t="shared" si="14"/>
        <v>1</v>
      </c>
      <c r="K163" s="3">
        <f t="shared" ca="1" si="15"/>
        <v>1074</v>
      </c>
      <c r="L163" s="3">
        <f t="shared" ca="1" si="16"/>
        <v>1029</v>
      </c>
      <c r="M163" t="str">
        <f t="shared" ca="1" si="17"/>
        <v>Overdue</v>
      </c>
      <c r="N163">
        <f t="shared" si="19"/>
        <v>5140.8500000000004</v>
      </c>
      <c r="O163" t="str" cm="1">
        <f t="array" aca="1" ref="O163" ca="1">_xlfn.IFS(
L163&lt;=0,"Not Due",
L163&lt;=30,"0–30 Days",
L163&lt;=60,"31–60 Days",
L163&lt;=90,"61–90 Days",
L163&lt;=180,"91–180 Days",
L163&lt;=365,"181–365 Days",
L163&gt;365,"365+ Days (High Risk)"
)</f>
        <v>365+ Days (High Risk)</v>
      </c>
      <c r="P163">
        <f t="shared" si="20"/>
        <v>0</v>
      </c>
      <c r="Q163" s="3">
        <f t="shared" ca="1" si="18"/>
        <v>5140.8500000000004</v>
      </c>
    </row>
    <row r="164" spans="1:17" x14ac:dyDescent="0.25">
      <c r="A164" t="s">
        <v>168</v>
      </c>
      <c r="B164" t="s">
        <v>908</v>
      </c>
      <c r="C164" s="1">
        <v>45019</v>
      </c>
      <c r="D164" s="1">
        <v>45064</v>
      </c>
      <c r="E164">
        <v>955.2</v>
      </c>
      <c r="F164" t="s">
        <v>915</v>
      </c>
      <c r="G164" t="s">
        <v>918</v>
      </c>
      <c r="H164" s="1">
        <v>45064</v>
      </c>
      <c r="I164" t="s">
        <v>919</v>
      </c>
      <c r="J164" t="b">
        <f t="shared" si="14"/>
        <v>0</v>
      </c>
      <c r="K164" s="3">
        <f t="shared" ca="1" si="15"/>
        <v>45</v>
      </c>
      <c r="L164" s="3">
        <f t="shared" ca="1" si="16"/>
        <v>0</v>
      </c>
      <c r="M164" t="str">
        <f t="shared" ca="1" si="17"/>
        <v>On Time</v>
      </c>
      <c r="N164">
        <f t="shared" si="19"/>
        <v>0</v>
      </c>
      <c r="O164" t="str" cm="1">
        <f t="array" aca="1" ref="O164" ca="1">_xlfn.IFS(
L164&lt;=0,"Not Due",
L164&lt;=30,"0–30 Days",
L164&lt;=60,"31–60 Days",
L164&lt;=90,"61–90 Days",
L164&lt;=180,"91–180 Days",
L164&lt;=365,"181–365 Days",
L164&gt;365,"365+ Days (High Risk)"
)</f>
        <v>Not Due</v>
      </c>
      <c r="P164">
        <f t="shared" si="20"/>
        <v>955.2</v>
      </c>
      <c r="Q164" s="3">
        <f t="shared" ca="1" si="18"/>
        <v>0</v>
      </c>
    </row>
    <row r="165" spans="1:17" x14ac:dyDescent="0.25">
      <c r="A165" t="s">
        <v>169</v>
      </c>
      <c r="B165" t="s">
        <v>909</v>
      </c>
      <c r="C165" s="1">
        <v>45034</v>
      </c>
      <c r="D165" s="1">
        <v>45079</v>
      </c>
      <c r="E165">
        <v>3300.51</v>
      </c>
      <c r="F165" t="s">
        <v>912</v>
      </c>
      <c r="G165" t="s">
        <v>918</v>
      </c>
      <c r="H165" s="1">
        <v>45079</v>
      </c>
      <c r="I165" t="s">
        <v>919</v>
      </c>
      <c r="J165" t="b">
        <f t="shared" si="14"/>
        <v>0</v>
      </c>
      <c r="K165" s="3">
        <f t="shared" ca="1" si="15"/>
        <v>45</v>
      </c>
      <c r="L165" s="3">
        <f t="shared" ca="1" si="16"/>
        <v>0</v>
      </c>
      <c r="M165" t="str">
        <f t="shared" ca="1" si="17"/>
        <v>On Time</v>
      </c>
      <c r="N165">
        <f t="shared" si="19"/>
        <v>0</v>
      </c>
      <c r="O165" t="str" cm="1">
        <f t="array" aca="1" ref="O165" ca="1">_xlfn.IFS(
L165&lt;=0,"Not Due",
L165&lt;=30,"0–30 Days",
L165&lt;=60,"31–60 Days",
L165&lt;=90,"61–90 Days",
L165&lt;=180,"91–180 Days",
L165&lt;=365,"181–365 Days",
L165&gt;365,"365+ Days (High Risk)"
)</f>
        <v>Not Due</v>
      </c>
      <c r="P165">
        <f t="shared" si="20"/>
        <v>3300.51</v>
      </c>
      <c r="Q165" s="3">
        <f t="shared" ca="1" si="18"/>
        <v>0</v>
      </c>
    </row>
    <row r="166" spans="1:17" x14ac:dyDescent="0.25">
      <c r="A166" t="s">
        <v>170</v>
      </c>
      <c r="B166" t="s">
        <v>909</v>
      </c>
      <c r="C166" s="1">
        <v>45651</v>
      </c>
      <c r="D166" s="1">
        <v>45696</v>
      </c>
      <c r="E166">
        <v>4647.5</v>
      </c>
      <c r="F166" t="s">
        <v>915</v>
      </c>
      <c r="G166" t="s">
        <v>918</v>
      </c>
      <c r="H166" s="1">
        <v>45696</v>
      </c>
      <c r="I166" t="s">
        <v>919</v>
      </c>
      <c r="J166" t="b">
        <f t="shared" si="14"/>
        <v>0</v>
      </c>
      <c r="K166" s="3">
        <f t="shared" ca="1" si="15"/>
        <v>45</v>
      </c>
      <c r="L166" s="3">
        <f t="shared" ca="1" si="16"/>
        <v>0</v>
      </c>
      <c r="M166" t="str">
        <f t="shared" ca="1" si="17"/>
        <v>On Time</v>
      </c>
      <c r="N166">
        <f t="shared" si="19"/>
        <v>0</v>
      </c>
      <c r="O166" t="str" cm="1">
        <f t="array" aca="1" ref="O166" ca="1">_xlfn.IFS(
L166&lt;=0,"Not Due",
L166&lt;=30,"0–30 Days",
L166&lt;=60,"31–60 Days",
L166&lt;=90,"61–90 Days",
L166&lt;=180,"91–180 Days",
L166&lt;=365,"181–365 Days",
L166&gt;365,"365+ Days (High Risk)"
)</f>
        <v>Not Due</v>
      </c>
      <c r="P166">
        <f t="shared" si="20"/>
        <v>4647.5</v>
      </c>
      <c r="Q166" s="3">
        <f t="shared" ca="1" si="18"/>
        <v>0</v>
      </c>
    </row>
    <row r="167" spans="1:17" x14ac:dyDescent="0.25">
      <c r="A167" t="s">
        <v>171</v>
      </c>
      <c r="B167" t="s">
        <v>909</v>
      </c>
      <c r="C167" s="1">
        <v>45197</v>
      </c>
      <c r="D167" s="1">
        <v>45242</v>
      </c>
      <c r="E167">
        <v>2799.03</v>
      </c>
      <c r="F167" t="s">
        <v>915</v>
      </c>
      <c r="G167" t="s">
        <v>917</v>
      </c>
      <c r="I167" t="s">
        <v>919</v>
      </c>
      <c r="J167" t="b">
        <f t="shared" si="14"/>
        <v>1</v>
      </c>
      <c r="K167" s="3">
        <f t="shared" ca="1" si="15"/>
        <v>854</v>
      </c>
      <c r="L167" s="3">
        <f t="shared" ca="1" si="16"/>
        <v>809</v>
      </c>
      <c r="M167" t="str">
        <f t="shared" ca="1" si="17"/>
        <v>Overdue</v>
      </c>
      <c r="N167">
        <f t="shared" si="19"/>
        <v>2799.03</v>
      </c>
      <c r="O167" t="str" cm="1">
        <f t="array" aca="1" ref="O167" ca="1">_xlfn.IFS(
L167&lt;=0,"Not Due",
L167&lt;=30,"0–30 Days",
L167&lt;=60,"31–60 Days",
L167&lt;=90,"61–90 Days",
L167&lt;=180,"91–180 Days",
L167&lt;=365,"181–365 Days",
L167&gt;365,"365+ Days (High Risk)"
)</f>
        <v>365+ Days (High Risk)</v>
      </c>
      <c r="P167">
        <f t="shared" si="20"/>
        <v>0</v>
      </c>
      <c r="Q167" s="3">
        <f t="shared" ca="1" si="18"/>
        <v>2799.03</v>
      </c>
    </row>
    <row r="168" spans="1:17" x14ac:dyDescent="0.25">
      <c r="A168" t="s">
        <v>172</v>
      </c>
      <c r="B168" t="s">
        <v>908</v>
      </c>
      <c r="C168" s="1">
        <v>45499</v>
      </c>
      <c r="D168" s="1">
        <v>45544</v>
      </c>
      <c r="E168">
        <v>6835.74</v>
      </c>
      <c r="F168" t="s">
        <v>912</v>
      </c>
      <c r="G168" t="s">
        <v>916</v>
      </c>
      <c r="I168" t="s">
        <v>919</v>
      </c>
      <c r="J168" t="b">
        <f t="shared" si="14"/>
        <v>1</v>
      </c>
      <c r="K168" s="3">
        <f t="shared" ca="1" si="15"/>
        <v>552</v>
      </c>
      <c r="L168" s="3">
        <f t="shared" ca="1" si="16"/>
        <v>507</v>
      </c>
      <c r="M168" t="str">
        <f t="shared" ca="1" si="17"/>
        <v>Overdue</v>
      </c>
      <c r="N168">
        <f t="shared" si="19"/>
        <v>6835.74</v>
      </c>
      <c r="O168" t="str" cm="1">
        <f t="array" aca="1" ref="O168" ca="1">_xlfn.IFS(
L168&lt;=0,"Not Due",
L168&lt;=30,"0–30 Days",
L168&lt;=60,"31–60 Days",
L168&lt;=90,"61–90 Days",
L168&lt;=180,"91–180 Days",
L168&lt;=365,"181–365 Days",
L168&gt;365,"365+ Days (High Risk)"
)</f>
        <v>365+ Days (High Risk)</v>
      </c>
      <c r="P168">
        <f t="shared" si="20"/>
        <v>0</v>
      </c>
      <c r="Q168" s="3">
        <f t="shared" ca="1" si="18"/>
        <v>6835.74</v>
      </c>
    </row>
    <row r="169" spans="1:17" x14ac:dyDescent="0.25">
      <c r="A169" t="s">
        <v>173</v>
      </c>
      <c r="B169" t="s">
        <v>907</v>
      </c>
      <c r="C169" s="1">
        <v>45787</v>
      </c>
      <c r="D169" s="1">
        <v>45832</v>
      </c>
      <c r="E169">
        <v>6160.95</v>
      </c>
      <c r="F169" t="s">
        <v>913</v>
      </c>
      <c r="G169" t="s">
        <v>917</v>
      </c>
      <c r="I169" t="s">
        <v>919</v>
      </c>
      <c r="J169" t="b">
        <f t="shared" si="14"/>
        <v>1</v>
      </c>
      <c r="K169" s="3">
        <f t="shared" ca="1" si="15"/>
        <v>264</v>
      </c>
      <c r="L169" s="3">
        <f t="shared" ca="1" si="16"/>
        <v>219</v>
      </c>
      <c r="M169" t="str">
        <f t="shared" ca="1" si="17"/>
        <v>Overdue</v>
      </c>
      <c r="N169">
        <f t="shared" si="19"/>
        <v>6160.95</v>
      </c>
      <c r="O169" t="str" cm="1">
        <f t="array" aca="1" ref="O169" ca="1">_xlfn.IFS(
L169&lt;=0,"Not Due",
L169&lt;=30,"0–30 Days",
L169&lt;=60,"31–60 Days",
L169&lt;=90,"61–90 Days",
L169&lt;=180,"91–180 Days",
L169&lt;=365,"181–365 Days",
L169&gt;365,"365+ Days (High Risk)"
)</f>
        <v>181–365 Days</v>
      </c>
      <c r="P169">
        <f t="shared" si="20"/>
        <v>0</v>
      </c>
      <c r="Q169" s="3">
        <f t="shared" ca="1" si="18"/>
        <v>6160.95</v>
      </c>
    </row>
    <row r="170" spans="1:17" x14ac:dyDescent="0.25">
      <c r="A170" t="s">
        <v>174</v>
      </c>
      <c r="B170" t="s">
        <v>909</v>
      </c>
      <c r="C170" s="1">
        <v>45758</v>
      </c>
      <c r="D170" s="1">
        <v>45803</v>
      </c>
      <c r="E170">
        <v>1275.3699999999999</v>
      </c>
      <c r="F170" t="s">
        <v>912</v>
      </c>
      <c r="G170" t="s">
        <v>918</v>
      </c>
      <c r="H170" s="1">
        <v>45803</v>
      </c>
      <c r="I170" t="s">
        <v>919</v>
      </c>
      <c r="J170" t="b">
        <f t="shared" si="14"/>
        <v>0</v>
      </c>
      <c r="K170" s="3">
        <f t="shared" ca="1" si="15"/>
        <v>45</v>
      </c>
      <c r="L170" s="3">
        <f t="shared" ca="1" si="16"/>
        <v>0</v>
      </c>
      <c r="M170" t="str">
        <f t="shared" ca="1" si="17"/>
        <v>On Time</v>
      </c>
      <c r="N170">
        <f t="shared" si="19"/>
        <v>0</v>
      </c>
      <c r="O170" t="str" cm="1">
        <f t="array" aca="1" ref="O170" ca="1">_xlfn.IFS(
L170&lt;=0,"Not Due",
L170&lt;=30,"0–30 Days",
L170&lt;=60,"31–60 Days",
L170&lt;=90,"61–90 Days",
L170&lt;=180,"91–180 Days",
L170&lt;=365,"181–365 Days",
L170&gt;365,"365+ Days (High Risk)"
)</f>
        <v>Not Due</v>
      </c>
      <c r="P170">
        <f t="shared" si="20"/>
        <v>1275.3699999999999</v>
      </c>
      <c r="Q170" s="3">
        <f t="shared" ca="1" si="18"/>
        <v>0</v>
      </c>
    </row>
    <row r="171" spans="1:17" x14ac:dyDescent="0.25">
      <c r="A171" t="s">
        <v>175</v>
      </c>
      <c r="B171" t="s">
        <v>907</v>
      </c>
      <c r="C171" s="1">
        <v>45115</v>
      </c>
      <c r="D171" s="1">
        <v>45160</v>
      </c>
      <c r="E171">
        <v>6366.69</v>
      </c>
      <c r="F171" t="s">
        <v>913</v>
      </c>
      <c r="G171" t="s">
        <v>918</v>
      </c>
      <c r="H171" s="1">
        <v>45160</v>
      </c>
      <c r="I171" t="s">
        <v>919</v>
      </c>
      <c r="J171" t="b">
        <f t="shared" si="14"/>
        <v>0</v>
      </c>
      <c r="K171" s="3">
        <f t="shared" ca="1" si="15"/>
        <v>45</v>
      </c>
      <c r="L171" s="3">
        <f t="shared" ca="1" si="16"/>
        <v>0</v>
      </c>
      <c r="M171" t="str">
        <f t="shared" ca="1" si="17"/>
        <v>On Time</v>
      </c>
      <c r="N171">
        <f t="shared" si="19"/>
        <v>0</v>
      </c>
      <c r="O171" t="str" cm="1">
        <f t="array" aca="1" ref="O171" ca="1">_xlfn.IFS(
L171&lt;=0,"Not Due",
L171&lt;=30,"0–30 Days",
L171&lt;=60,"31–60 Days",
L171&lt;=90,"61–90 Days",
L171&lt;=180,"91–180 Days",
L171&lt;=365,"181–365 Days",
L171&gt;365,"365+ Days (High Risk)"
)</f>
        <v>Not Due</v>
      </c>
      <c r="P171">
        <f t="shared" si="20"/>
        <v>6366.69</v>
      </c>
      <c r="Q171" s="3">
        <f t="shared" ca="1" si="18"/>
        <v>0</v>
      </c>
    </row>
    <row r="172" spans="1:17" x14ac:dyDescent="0.25">
      <c r="A172" t="s">
        <v>176</v>
      </c>
      <c r="B172" t="s">
        <v>910</v>
      </c>
      <c r="C172" s="1">
        <v>45354</v>
      </c>
      <c r="D172" s="1">
        <v>45399</v>
      </c>
      <c r="E172">
        <v>2426.38</v>
      </c>
      <c r="F172" t="s">
        <v>913</v>
      </c>
      <c r="G172" t="s">
        <v>917</v>
      </c>
      <c r="I172" t="s">
        <v>919</v>
      </c>
      <c r="J172" t="b">
        <f t="shared" si="14"/>
        <v>1</v>
      </c>
      <c r="K172" s="3">
        <f t="shared" ca="1" si="15"/>
        <v>697</v>
      </c>
      <c r="L172" s="3">
        <f t="shared" ca="1" si="16"/>
        <v>652</v>
      </c>
      <c r="M172" t="str">
        <f t="shared" ca="1" si="17"/>
        <v>Overdue</v>
      </c>
      <c r="N172">
        <f t="shared" si="19"/>
        <v>2426.38</v>
      </c>
      <c r="O172" t="str" cm="1">
        <f t="array" aca="1" ref="O172" ca="1">_xlfn.IFS(
L172&lt;=0,"Not Due",
L172&lt;=30,"0–30 Days",
L172&lt;=60,"31–60 Days",
L172&lt;=90,"61–90 Days",
L172&lt;=180,"91–180 Days",
L172&lt;=365,"181–365 Days",
L172&gt;365,"365+ Days (High Risk)"
)</f>
        <v>365+ Days (High Risk)</v>
      </c>
      <c r="P172">
        <f t="shared" si="20"/>
        <v>0</v>
      </c>
      <c r="Q172" s="3">
        <f t="shared" ca="1" si="18"/>
        <v>2426.38</v>
      </c>
    </row>
    <row r="173" spans="1:17" x14ac:dyDescent="0.25">
      <c r="A173" t="s">
        <v>177</v>
      </c>
      <c r="B173" t="s">
        <v>910</v>
      </c>
      <c r="C173" s="1">
        <v>45179</v>
      </c>
      <c r="D173" s="1">
        <v>45224</v>
      </c>
      <c r="E173">
        <v>5499.32</v>
      </c>
      <c r="F173" t="s">
        <v>914</v>
      </c>
      <c r="G173" t="s">
        <v>918</v>
      </c>
      <c r="H173" s="1">
        <v>45224</v>
      </c>
      <c r="I173" t="s">
        <v>919</v>
      </c>
      <c r="J173" t="b">
        <f t="shared" si="14"/>
        <v>0</v>
      </c>
      <c r="K173" s="3">
        <f t="shared" ca="1" si="15"/>
        <v>45</v>
      </c>
      <c r="L173" s="3">
        <f t="shared" ca="1" si="16"/>
        <v>0</v>
      </c>
      <c r="M173" t="str">
        <f t="shared" ca="1" si="17"/>
        <v>On Time</v>
      </c>
      <c r="N173">
        <f t="shared" si="19"/>
        <v>0</v>
      </c>
      <c r="O173" t="str" cm="1">
        <f t="array" aca="1" ref="O173" ca="1">_xlfn.IFS(
L173&lt;=0,"Not Due",
L173&lt;=30,"0–30 Days",
L173&lt;=60,"31–60 Days",
L173&lt;=90,"61–90 Days",
L173&lt;=180,"91–180 Days",
L173&lt;=365,"181–365 Days",
L173&gt;365,"365+ Days (High Risk)"
)</f>
        <v>Not Due</v>
      </c>
      <c r="P173">
        <f t="shared" si="20"/>
        <v>5499.32</v>
      </c>
      <c r="Q173" s="3">
        <f t="shared" ca="1" si="18"/>
        <v>0</v>
      </c>
    </row>
    <row r="174" spans="1:17" x14ac:dyDescent="0.25">
      <c r="A174" t="s">
        <v>178</v>
      </c>
      <c r="B174" t="s">
        <v>907</v>
      </c>
      <c r="C174" s="1">
        <v>45106</v>
      </c>
      <c r="D174" s="1">
        <v>45151</v>
      </c>
      <c r="E174">
        <v>2573.4899999999998</v>
      </c>
      <c r="F174" t="s">
        <v>914</v>
      </c>
      <c r="G174" t="s">
        <v>918</v>
      </c>
      <c r="H174" s="1">
        <v>45151</v>
      </c>
      <c r="I174" t="s">
        <v>919</v>
      </c>
      <c r="J174" t="b">
        <f t="shared" si="14"/>
        <v>0</v>
      </c>
      <c r="K174" s="3">
        <f t="shared" ca="1" si="15"/>
        <v>45</v>
      </c>
      <c r="L174" s="3">
        <f t="shared" ca="1" si="16"/>
        <v>0</v>
      </c>
      <c r="M174" t="str">
        <f t="shared" ca="1" si="17"/>
        <v>On Time</v>
      </c>
      <c r="N174">
        <f t="shared" si="19"/>
        <v>0</v>
      </c>
      <c r="O174" t="str" cm="1">
        <f t="array" aca="1" ref="O174" ca="1">_xlfn.IFS(
L174&lt;=0,"Not Due",
L174&lt;=30,"0–30 Days",
L174&lt;=60,"31–60 Days",
L174&lt;=90,"61–90 Days",
L174&lt;=180,"91–180 Days",
L174&lt;=365,"181–365 Days",
L174&gt;365,"365+ Days (High Risk)"
)</f>
        <v>Not Due</v>
      </c>
      <c r="P174">
        <f t="shared" si="20"/>
        <v>2573.4899999999998</v>
      </c>
      <c r="Q174" s="3">
        <f t="shared" ca="1" si="18"/>
        <v>0</v>
      </c>
    </row>
    <row r="175" spans="1:17" x14ac:dyDescent="0.25">
      <c r="A175" t="s">
        <v>179</v>
      </c>
      <c r="B175" t="s">
        <v>910</v>
      </c>
      <c r="C175" s="1">
        <v>44928</v>
      </c>
      <c r="D175" s="1">
        <v>44973</v>
      </c>
      <c r="E175">
        <v>895.39</v>
      </c>
      <c r="F175" t="s">
        <v>912</v>
      </c>
      <c r="G175" t="s">
        <v>917</v>
      </c>
      <c r="I175" t="s">
        <v>919</v>
      </c>
      <c r="J175" t="b">
        <f t="shared" si="14"/>
        <v>1</v>
      </c>
      <c r="K175" s="3">
        <f t="shared" ca="1" si="15"/>
        <v>1123</v>
      </c>
      <c r="L175" s="3">
        <f t="shared" ca="1" si="16"/>
        <v>1078</v>
      </c>
      <c r="M175" t="str">
        <f t="shared" ca="1" si="17"/>
        <v>Overdue</v>
      </c>
      <c r="N175">
        <f t="shared" si="19"/>
        <v>895.39</v>
      </c>
      <c r="O175" t="str" cm="1">
        <f t="array" aca="1" ref="O175" ca="1">_xlfn.IFS(
L175&lt;=0,"Not Due",
L175&lt;=30,"0–30 Days",
L175&lt;=60,"31–60 Days",
L175&lt;=90,"61–90 Days",
L175&lt;=180,"91–180 Days",
L175&lt;=365,"181–365 Days",
L175&gt;365,"365+ Days (High Risk)"
)</f>
        <v>365+ Days (High Risk)</v>
      </c>
      <c r="P175">
        <f t="shared" si="20"/>
        <v>0</v>
      </c>
      <c r="Q175" s="3">
        <f t="shared" ca="1" si="18"/>
        <v>895.39</v>
      </c>
    </row>
    <row r="176" spans="1:17" x14ac:dyDescent="0.25">
      <c r="A176" t="s">
        <v>180</v>
      </c>
      <c r="B176" t="s">
        <v>910</v>
      </c>
      <c r="C176" s="1">
        <v>45752</v>
      </c>
      <c r="D176" s="1">
        <v>45797</v>
      </c>
      <c r="E176">
        <v>1425.44</v>
      </c>
      <c r="F176" t="s">
        <v>914</v>
      </c>
      <c r="G176" t="s">
        <v>917</v>
      </c>
      <c r="I176" t="s">
        <v>919</v>
      </c>
      <c r="J176" t="b">
        <f t="shared" si="14"/>
        <v>1</v>
      </c>
      <c r="K176" s="3">
        <f t="shared" ca="1" si="15"/>
        <v>299</v>
      </c>
      <c r="L176" s="3">
        <f t="shared" ca="1" si="16"/>
        <v>254</v>
      </c>
      <c r="M176" t="str">
        <f t="shared" ca="1" si="17"/>
        <v>Overdue</v>
      </c>
      <c r="N176">
        <f t="shared" si="19"/>
        <v>1425.44</v>
      </c>
      <c r="O176" t="str" cm="1">
        <f t="array" aca="1" ref="O176" ca="1">_xlfn.IFS(
L176&lt;=0,"Not Due",
L176&lt;=30,"0–30 Days",
L176&lt;=60,"31–60 Days",
L176&lt;=90,"61–90 Days",
L176&lt;=180,"91–180 Days",
L176&lt;=365,"181–365 Days",
L176&gt;365,"365+ Days (High Risk)"
)</f>
        <v>181–365 Days</v>
      </c>
      <c r="P176">
        <f t="shared" si="20"/>
        <v>0</v>
      </c>
      <c r="Q176" s="3">
        <f t="shared" ca="1" si="18"/>
        <v>1425.44</v>
      </c>
    </row>
    <row r="177" spans="1:17" x14ac:dyDescent="0.25">
      <c r="A177" t="s">
        <v>181</v>
      </c>
      <c r="B177" t="s">
        <v>908</v>
      </c>
      <c r="C177" s="1">
        <v>45697</v>
      </c>
      <c r="D177" s="1">
        <v>45742</v>
      </c>
      <c r="E177">
        <v>7615.32</v>
      </c>
      <c r="F177" t="s">
        <v>913</v>
      </c>
      <c r="G177" t="s">
        <v>917</v>
      </c>
      <c r="I177" t="s">
        <v>919</v>
      </c>
      <c r="J177" t="b">
        <f t="shared" si="14"/>
        <v>1</v>
      </c>
      <c r="K177" s="3">
        <f t="shared" ca="1" si="15"/>
        <v>354</v>
      </c>
      <c r="L177" s="3">
        <f t="shared" ca="1" si="16"/>
        <v>309</v>
      </c>
      <c r="M177" t="str">
        <f t="shared" ca="1" si="17"/>
        <v>Overdue</v>
      </c>
      <c r="N177">
        <f t="shared" si="19"/>
        <v>7615.32</v>
      </c>
      <c r="O177" t="str" cm="1">
        <f t="array" aca="1" ref="O177" ca="1">_xlfn.IFS(
L177&lt;=0,"Not Due",
L177&lt;=30,"0–30 Days",
L177&lt;=60,"31–60 Days",
L177&lt;=90,"61–90 Days",
L177&lt;=180,"91–180 Days",
L177&lt;=365,"181–365 Days",
L177&gt;365,"365+ Days (High Risk)"
)</f>
        <v>181–365 Days</v>
      </c>
      <c r="P177">
        <f t="shared" si="20"/>
        <v>0</v>
      </c>
      <c r="Q177" s="3">
        <f t="shared" ca="1" si="18"/>
        <v>7615.32</v>
      </c>
    </row>
    <row r="178" spans="1:17" x14ac:dyDescent="0.25">
      <c r="A178" t="s">
        <v>182</v>
      </c>
      <c r="B178" t="s">
        <v>907</v>
      </c>
      <c r="C178" s="1">
        <v>45095</v>
      </c>
      <c r="D178" s="1">
        <v>45140</v>
      </c>
      <c r="E178">
        <v>5139.07</v>
      </c>
      <c r="F178" t="s">
        <v>913</v>
      </c>
      <c r="G178" t="s">
        <v>916</v>
      </c>
      <c r="I178" t="s">
        <v>919</v>
      </c>
      <c r="J178" t="b">
        <f t="shared" si="14"/>
        <v>1</v>
      </c>
      <c r="K178" s="3">
        <f t="shared" ca="1" si="15"/>
        <v>956</v>
      </c>
      <c r="L178" s="3">
        <f t="shared" ca="1" si="16"/>
        <v>911</v>
      </c>
      <c r="M178" t="str">
        <f t="shared" ca="1" si="17"/>
        <v>Overdue</v>
      </c>
      <c r="N178">
        <f t="shared" si="19"/>
        <v>5139.07</v>
      </c>
      <c r="O178" t="str" cm="1">
        <f t="array" aca="1" ref="O178" ca="1">_xlfn.IFS(
L178&lt;=0,"Not Due",
L178&lt;=30,"0–30 Days",
L178&lt;=60,"31–60 Days",
L178&lt;=90,"61–90 Days",
L178&lt;=180,"91–180 Days",
L178&lt;=365,"181–365 Days",
L178&gt;365,"365+ Days (High Risk)"
)</f>
        <v>365+ Days (High Risk)</v>
      </c>
      <c r="P178">
        <f t="shared" si="20"/>
        <v>0</v>
      </c>
      <c r="Q178" s="3">
        <f t="shared" ca="1" si="18"/>
        <v>5139.07</v>
      </c>
    </row>
    <row r="179" spans="1:17" x14ac:dyDescent="0.25">
      <c r="A179" t="s">
        <v>183</v>
      </c>
      <c r="B179" t="s">
        <v>906</v>
      </c>
      <c r="C179" s="1">
        <v>45211</v>
      </c>
      <c r="D179" s="1">
        <v>45256</v>
      </c>
      <c r="E179">
        <v>5167.68</v>
      </c>
      <c r="F179" t="s">
        <v>913</v>
      </c>
      <c r="G179" t="s">
        <v>916</v>
      </c>
      <c r="I179" t="s">
        <v>919</v>
      </c>
      <c r="J179" t="b">
        <f t="shared" si="14"/>
        <v>1</v>
      </c>
      <c r="K179" s="3">
        <f t="shared" ca="1" si="15"/>
        <v>840</v>
      </c>
      <c r="L179" s="3">
        <f t="shared" ca="1" si="16"/>
        <v>795</v>
      </c>
      <c r="M179" t="str">
        <f t="shared" ca="1" si="17"/>
        <v>Overdue</v>
      </c>
      <c r="N179">
        <f t="shared" si="19"/>
        <v>5167.68</v>
      </c>
      <c r="O179" t="str" cm="1">
        <f t="array" aca="1" ref="O179" ca="1">_xlfn.IFS(
L179&lt;=0,"Not Due",
L179&lt;=30,"0–30 Days",
L179&lt;=60,"31–60 Days",
L179&lt;=90,"61–90 Days",
L179&lt;=180,"91–180 Days",
L179&lt;=365,"181–365 Days",
L179&gt;365,"365+ Days (High Risk)"
)</f>
        <v>365+ Days (High Risk)</v>
      </c>
      <c r="P179">
        <f t="shared" si="20"/>
        <v>0</v>
      </c>
      <c r="Q179" s="3">
        <f t="shared" ca="1" si="18"/>
        <v>5167.68</v>
      </c>
    </row>
    <row r="180" spans="1:17" x14ac:dyDescent="0.25">
      <c r="A180" t="s">
        <v>184</v>
      </c>
      <c r="B180" t="s">
        <v>910</v>
      </c>
      <c r="C180" s="1">
        <v>45510</v>
      </c>
      <c r="D180" s="1">
        <v>45555</v>
      </c>
      <c r="E180">
        <v>3033.26</v>
      </c>
      <c r="F180" t="s">
        <v>914</v>
      </c>
      <c r="G180" t="s">
        <v>917</v>
      </c>
      <c r="I180" t="s">
        <v>919</v>
      </c>
      <c r="J180" t="b">
        <f t="shared" si="14"/>
        <v>1</v>
      </c>
      <c r="K180" s="3">
        <f t="shared" ca="1" si="15"/>
        <v>541</v>
      </c>
      <c r="L180" s="3">
        <f t="shared" ca="1" si="16"/>
        <v>496</v>
      </c>
      <c r="M180" t="str">
        <f t="shared" ca="1" si="17"/>
        <v>Overdue</v>
      </c>
      <c r="N180">
        <f t="shared" si="19"/>
        <v>3033.26</v>
      </c>
      <c r="O180" t="str" cm="1">
        <f t="array" aca="1" ref="O180" ca="1">_xlfn.IFS(
L180&lt;=0,"Not Due",
L180&lt;=30,"0–30 Days",
L180&lt;=60,"31–60 Days",
L180&lt;=90,"61–90 Days",
L180&lt;=180,"91–180 Days",
L180&lt;=365,"181–365 Days",
L180&gt;365,"365+ Days (High Risk)"
)</f>
        <v>365+ Days (High Risk)</v>
      </c>
      <c r="P180">
        <f t="shared" si="20"/>
        <v>0</v>
      </c>
      <c r="Q180" s="3">
        <f t="shared" ca="1" si="18"/>
        <v>3033.26</v>
      </c>
    </row>
    <row r="181" spans="1:17" x14ac:dyDescent="0.25">
      <c r="A181" t="s">
        <v>185</v>
      </c>
      <c r="B181" t="s">
        <v>910</v>
      </c>
      <c r="C181" s="1">
        <v>45638</v>
      </c>
      <c r="D181" s="1">
        <v>45683</v>
      </c>
      <c r="E181">
        <v>2790.33</v>
      </c>
      <c r="F181" t="s">
        <v>915</v>
      </c>
      <c r="G181" t="s">
        <v>918</v>
      </c>
      <c r="H181" s="1">
        <v>45683</v>
      </c>
      <c r="I181" t="s">
        <v>919</v>
      </c>
      <c r="J181" t="b">
        <f t="shared" si="14"/>
        <v>0</v>
      </c>
      <c r="K181" s="3">
        <f t="shared" ca="1" si="15"/>
        <v>45</v>
      </c>
      <c r="L181" s="3">
        <f t="shared" ca="1" si="16"/>
        <v>0</v>
      </c>
      <c r="M181" t="str">
        <f t="shared" ca="1" si="17"/>
        <v>On Time</v>
      </c>
      <c r="N181">
        <f t="shared" si="19"/>
        <v>0</v>
      </c>
      <c r="O181" t="str" cm="1">
        <f t="array" aca="1" ref="O181" ca="1">_xlfn.IFS(
L181&lt;=0,"Not Due",
L181&lt;=30,"0–30 Days",
L181&lt;=60,"31–60 Days",
L181&lt;=90,"61–90 Days",
L181&lt;=180,"91–180 Days",
L181&lt;=365,"181–365 Days",
L181&gt;365,"365+ Days (High Risk)"
)</f>
        <v>Not Due</v>
      </c>
      <c r="P181">
        <f t="shared" si="20"/>
        <v>2790.33</v>
      </c>
      <c r="Q181" s="3">
        <f t="shared" ca="1" si="18"/>
        <v>0</v>
      </c>
    </row>
    <row r="182" spans="1:17" x14ac:dyDescent="0.25">
      <c r="A182" t="s">
        <v>186</v>
      </c>
      <c r="B182" t="s">
        <v>906</v>
      </c>
      <c r="C182" s="1">
        <v>45122</v>
      </c>
      <c r="D182" s="1">
        <v>45167</v>
      </c>
      <c r="E182">
        <v>2501.6799999999998</v>
      </c>
      <c r="F182" t="s">
        <v>914</v>
      </c>
      <c r="G182" t="s">
        <v>918</v>
      </c>
      <c r="H182" s="1">
        <v>45167</v>
      </c>
      <c r="I182" t="s">
        <v>919</v>
      </c>
      <c r="J182" t="b">
        <f t="shared" si="14"/>
        <v>0</v>
      </c>
      <c r="K182" s="3">
        <f t="shared" ca="1" si="15"/>
        <v>45</v>
      </c>
      <c r="L182" s="3">
        <f t="shared" ca="1" si="16"/>
        <v>0</v>
      </c>
      <c r="M182" t="str">
        <f t="shared" ca="1" si="17"/>
        <v>On Time</v>
      </c>
      <c r="N182">
        <f t="shared" si="19"/>
        <v>0</v>
      </c>
      <c r="O182" t="str" cm="1">
        <f t="array" aca="1" ref="O182" ca="1">_xlfn.IFS(
L182&lt;=0,"Not Due",
L182&lt;=30,"0–30 Days",
L182&lt;=60,"31–60 Days",
L182&lt;=90,"61–90 Days",
L182&lt;=180,"91–180 Days",
L182&lt;=365,"181–365 Days",
L182&gt;365,"365+ Days (High Risk)"
)</f>
        <v>Not Due</v>
      </c>
      <c r="P182">
        <f t="shared" si="20"/>
        <v>2501.6799999999998</v>
      </c>
      <c r="Q182" s="3">
        <f t="shared" ca="1" si="18"/>
        <v>0</v>
      </c>
    </row>
    <row r="183" spans="1:17" x14ac:dyDescent="0.25">
      <c r="A183" t="s">
        <v>187</v>
      </c>
      <c r="B183" t="s">
        <v>910</v>
      </c>
      <c r="C183" s="1">
        <v>45239</v>
      </c>
      <c r="D183" s="1">
        <v>45284</v>
      </c>
      <c r="E183">
        <v>4360.84</v>
      </c>
      <c r="F183" t="s">
        <v>915</v>
      </c>
      <c r="G183" t="s">
        <v>917</v>
      </c>
      <c r="I183" t="s">
        <v>919</v>
      </c>
      <c r="J183" t="b">
        <f t="shared" si="14"/>
        <v>1</v>
      </c>
      <c r="K183" s="3">
        <f t="shared" ca="1" si="15"/>
        <v>812</v>
      </c>
      <c r="L183" s="3">
        <f t="shared" ca="1" si="16"/>
        <v>767</v>
      </c>
      <c r="M183" t="str">
        <f t="shared" ca="1" si="17"/>
        <v>Overdue</v>
      </c>
      <c r="N183">
        <f t="shared" si="19"/>
        <v>4360.84</v>
      </c>
      <c r="O183" t="str" cm="1">
        <f t="array" aca="1" ref="O183" ca="1">_xlfn.IFS(
L183&lt;=0,"Not Due",
L183&lt;=30,"0–30 Days",
L183&lt;=60,"31–60 Days",
L183&lt;=90,"61–90 Days",
L183&lt;=180,"91–180 Days",
L183&lt;=365,"181–365 Days",
L183&gt;365,"365+ Days (High Risk)"
)</f>
        <v>365+ Days (High Risk)</v>
      </c>
      <c r="P183">
        <f t="shared" si="20"/>
        <v>0</v>
      </c>
      <c r="Q183" s="3">
        <f t="shared" ca="1" si="18"/>
        <v>4360.84</v>
      </c>
    </row>
    <row r="184" spans="1:17" x14ac:dyDescent="0.25">
      <c r="A184" t="s">
        <v>188</v>
      </c>
      <c r="B184" t="s">
        <v>909</v>
      </c>
      <c r="C184" s="1">
        <v>45373</v>
      </c>
      <c r="D184" s="1">
        <v>45418</v>
      </c>
      <c r="E184">
        <v>3594.45</v>
      </c>
      <c r="F184" t="s">
        <v>915</v>
      </c>
      <c r="G184" t="s">
        <v>916</v>
      </c>
      <c r="I184" t="s">
        <v>919</v>
      </c>
      <c r="J184" t="b">
        <f t="shared" si="14"/>
        <v>1</v>
      </c>
      <c r="K184" s="3">
        <f t="shared" ca="1" si="15"/>
        <v>678</v>
      </c>
      <c r="L184" s="3">
        <f t="shared" ca="1" si="16"/>
        <v>633</v>
      </c>
      <c r="M184" t="str">
        <f t="shared" ca="1" si="17"/>
        <v>Overdue</v>
      </c>
      <c r="N184">
        <f t="shared" si="19"/>
        <v>3594.45</v>
      </c>
      <c r="O184" t="str" cm="1">
        <f t="array" aca="1" ref="O184" ca="1">_xlfn.IFS(
L184&lt;=0,"Not Due",
L184&lt;=30,"0–30 Days",
L184&lt;=60,"31–60 Days",
L184&lt;=90,"61–90 Days",
L184&lt;=180,"91–180 Days",
L184&lt;=365,"181–365 Days",
L184&gt;365,"365+ Days (High Risk)"
)</f>
        <v>365+ Days (High Risk)</v>
      </c>
      <c r="P184">
        <f t="shared" si="20"/>
        <v>0</v>
      </c>
      <c r="Q184" s="3">
        <f t="shared" ca="1" si="18"/>
        <v>3594.45</v>
      </c>
    </row>
    <row r="185" spans="1:17" x14ac:dyDescent="0.25">
      <c r="A185" t="s">
        <v>189</v>
      </c>
      <c r="B185" t="s">
        <v>909</v>
      </c>
      <c r="C185" s="1">
        <v>45683</v>
      </c>
      <c r="D185" s="1">
        <v>45728</v>
      </c>
      <c r="E185">
        <v>532.94000000000005</v>
      </c>
      <c r="F185" t="s">
        <v>912</v>
      </c>
      <c r="G185" t="s">
        <v>917</v>
      </c>
      <c r="I185" t="s">
        <v>919</v>
      </c>
      <c r="J185" t="b">
        <f t="shared" si="14"/>
        <v>1</v>
      </c>
      <c r="K185" s="3">
        <f t="shared" ca="1" si="15"/>
        <v>368</v>
      </c>
      <c r="L185" s="3">
        <f t="shared" ca="1" si="16"/>
        <v>323</v>
      </c>
      <c r="M185" t="str">
        <f t="shared" ca="1" si="17"/>
        <v>Overdue</v>
      </c>
      <c r="N185">
        <f t="shared" si="19"/>
        <v>532.94000000000005</v>
      </c>
      <c r="O185" t="str" cm="1">
        <f t="array" aca="1" ref="O185" ca="1">_xlfn.IFS(
L185&lt;=0,"Not Due",
L185&lt;=30,"0–30 Days",
L185&lt;=60,"31–60 Days",
L185&lt;=90,"61–90 Days",
L185&lt;=180,"91–180 Days",
L185&lt;=365,"181–365 Days",
L185&gt;365,"365+ Days (High Risk)"
)</f>
        <v>181–365 Days</v>
      </c>
      <c r="P185">
        <f t="shared" si="20"/>
        <v>0</v>
      </c>
      <c r="Q185" s="3">
        <f t="shared" ca="1" si="18"/>
        <v>532.94000000000005</v>
      </c>
    </row>
    <row r="186" spans="1:17" x14ac:dyDescent="0.25">
      <c r="A186" t="s">
        <v>190</v>
      </c>
      <c r="B186" t="s">
        <v>908</v>
      </c>
      <c r="C186" s="1">
        <v>45082</v>
      </c>
      <c r="D186" s="1">
        <v>45127</v>
      </c>
      <c r="E186">
        <v>3313.6</v>
      </c>
      <c r="F186" t="s">
        <v>911</v>
      </c>
      <c r="G186" t="s">
        <v>916</v>
      </c>
      <c r="I186" t="s">
        <v>919</v>
      </c>
      <c r="J186" t="b">
        <f t="shared" si="14"/>
        <v>1</v>
      </c>
      <c r="K186" s="3">
        <f t="shared" ca="1" si="15"/>
        <v>969</v>
      </c>
      <c r="L186" s="3">
        <f t="shared" ca="1" si="16"/>
        <v>924</v>
      </c>
      <c r="M186" t="str">
        <f t="shared" ca="1" si="17"/>
        <v>Overdue</v>
      </c>
      <c r="N186">
        <f t="shared" si="19"/>
        <v>3313.6</v>
      </c>
      <c r="O186" t="str" cm="1">
        <f t="array" aca="1" ref="O186" ca="1">_xlfn.IFS(
L186&lt;=0,"Not Due",
L186&lt;=30,"0–30 Days",
L186&lt;=60,"31–60 Days",
L186&lt;=90,"61–90 Days",
L186&lt;=180,"91–180 Days",
L186&lt;=365,"181–365 Days",
L186&gt;365,"365+ Days (High Risk)"
)</f>
        <v>365+ Days (High Risk)</v>
      </c>
      <c r="P186">
        <f t="shared" si="20"/>
        <v>0</v>
      </c>
      <c r="Q186" s="3">
        <f t="shared" ca="1" si="18"/>
        <v>3313.6</v>
      </c>
    </row>
    <row r="187" spans="1:17" x14ac:dyDescent="0.25">
      <c r="A187" t="s">
        <v>191</v>
      </c>
      <c r="B187" t="s">
        <v>908</v>
      </c>
      <c r="C187" s="1">
        <v>45171</v>
      </c>
      <c r="D187" s="1">
        <v>45216</v>
      </c>
      <c r="E187">
        <v>1217.21</v>
      </c>
      <c r="F187" t="s">
        <v>915</v>
      </c>
      <c r="G187" t="s">
        <v>916</v>
      </c>
      <c r="I187" t="s">
        <v>919</v>
      </c>
      <c r="J187" t="b">
        <f t="shared" si="14"/>
        <v>1</v>
      </c>
      <c r="K187" s="3">
        <f t="shared" ca="1" si="15"/>
        <v>880</v>
      </c>
      <c r="L187" s="3">
        <f t="shared" ca="1" si="16"/>
        <v>835</v>
      </c>
      <c r="M187" t="str">
        <f t="shared" ca="1" si="17"/>
        <v>Overdue</v>
      </c>
      <c r="N187">
        <f t="shared" si="19"/>
        <v>1217.21</v>
      </c>
      <c r="O187" t="str" cm="1">
        <f t="array" aca="1" ref="O187" ca="1">_xlfn.IFS(
L187&lt;=0,"Not Due",
L187&lt;=30,"0–30 Days",
L187&lt;=60,"31–60 Days",
L187&lt;=90,"61–90 Days",
L187&lt;=180,"91–180 Days",
L187&lt;=365,"181–365 Days",
L187&gt;365,"365+ Days (High Risk)"
)</f>
        <v>365+ Days (High Risk)</v>
      </c>
      <c r="P187">
        <f t="shared" si="20"/>
        <v>0</v>
      </c>
      <c r="Q187" s="3">
        <f t="shared" ca="1" si="18"/>
        <v>1217.21</v>
      </c>
    </row>
    <row r="188" spans="1:17" x14ac:dyDescent="0.25">
      <c r="A188" t="s">
        <v>192</v>
      </c>
      <c r="B188" t="s">
        <v>906</v>
      </c>
      <c r="C188" s="1">
        <v>44962</v>
      </c>
      <c r="D188" s="1">
        <v>45007</v>
      </c>
      <c r="E188">
        <v>2638.46</v>
      </c>
      <c r="F188" t="s">
        <v>913</v>
      </c>
      <c r="G188" t="s">
        <v>916</v>
      </c>
      <c r="I188" t="s">
        <v>919</v>
      </c>
      <c r="J188" t="b">
        <f t="shared" si="14"/>
        <v>1</v>
      </c>
      <c r="K188" s="3">
        <f t="shared" ca="1" si="15"/>
        <v>1089</v>
      </c>
      <c r="L188" s="3">
        <f t="shared" ca="1" si="16"/>
        <v>1044</v>
      </c>
      <c r="M188" t="str">
        <f t="shared" ca="1" si="17"/>
        <v>Overdue</v>
      </c>
      <c r="N188">
        <f t="shared" si="19"/>
        <v>2638.46</v>
      </c>
      <c r="O188" t="str" cm="1">
        <f t="array" aca="1" ref="O188" ca="1">_xlfn.IFS(
L188&lt;=0,"Not Due",
L188&lt;=30,"0–30 Days",
L188&lt;=60,"31–60 Days",
L188&lt;=90,"61–90 Days",
L188&lt;=180,"91–180 Days",
L188&lt;=365,"181–365 Days",
L188&gt;365,"365+ Days (High Risk)"
)</f>
        <v>365+ Days (High Risk)</v>
      </c>
      <c r="P188">
        <f t="shared" si="20"/>
        <v>0</v>
      </c>
      <c r="Q188" s="3">
        <f t="shared" ca="1" si="18"/>
        <v>2638.46</v>
      </c>
    </row>
    <row r="189" spans="1:17" x14ac:dyDescent="0.25">
      <c r="A189" t="s">
        <v>193</v>
      </c>
      <c r="B189" t="s">
        <v>908</v>
      </c>
      <c r="C189" s="1">
        <v>45007</v>
      </c>
      <c r="D189" s="1">
        <v>45052</v>
      </c>
      <c r="E189">
        <v>1769.81</v>
      </c>
      <c r="F189" t="s">
        <v>912</v>
      </c>
      <c r="G189" t="s">
        <v>916</v>
      </c>
      <c r="I189" t="s">
        <v>919</v>
      </c>
      <c r="J189" t="b">
        <f t="shared" si="14"/>
        <v>1</v>
      </c>
      <c r="K189" s="3">
        <f t="shared" ca="1" si="15"/>
        <v>1044</v>
      </c>
      <c r="L189" s="3">
        <f t="shared" ca="1" si="16"/>
        <v>999</v>
      </c>
      <c r="M189" t="str">
        <f t="shared" ca="1" si="17"/>
        <v>Overdue</v>
      </c>
      <c r="N189">
        <f t="shared" si="19"/>
        <v>1769.81</v>
      </c>
      <c r="O189" t="str" cm="1">
        <f t="array" aca="1" ref="O189" ca="1">_xlfn.IFS(
L189&lt;=0,"Not Due",
L189&lt;=30,"0–30 Days",
L189&lt;=60,"31–60 Days",
L189&lt;=90,"61–90 Days",
L189&lt;=180,"91–180 Days",
L189&lt;=365,"181–365 Days",
L189&gt;365,"365+ Days (High Risk)"
)</f>
        <v>365+ Days (High Risk)</v>
      </c>
      <c r="P189">
        <f t="shared" si="20"/>
        <v>0</v>
      </c>
      <c r="Q189" s="3">
        <f t="shared" ca="1" si="18"/>
        <v>1769.81</v>
      </c>
    </row>
    <row r="190" spans="1:17" x14ac:dyDescent="0.25">
      <c r="A190" t="s">
        <v>194</v>
      </c>
      <c r="B190" t="s">
        <v>907</v>
      </c>
      <c r="C190" s="1">
        <v>45728</v>
      </c>
      <c r="D190" s="1">
        <v>45773</v>
      </c>
      <c r="E190">
        <v>358</v>
      </c>
      <c r="F190" t="s">
        <v>914</v>
      </c>
      <c r="G190" t="s">
        <v>917</v>
      </c>
      <c r="I190" t="s">
        <v>919</v>
      </c>
      <c r="J190" t="b">
        <f t="shared" si="14"/>
        <v>1</v>
      </c>
      <c r="K190" s="3">
        <f t="shared" ca="1" si="15"/>
        <v>323</v>
      </c>
      <c r="L190" s="3">
        <f t="shared" ca="1" si="16"/>
        <v>278</v>
      </c>
      <c r="M190" t="str">
        <f t="shared" ca="1" si="17"/>
        <v>Overdue</v>
      </c>
      <c r="N190">
        <f t="shared" si="19"/>
        <v>358</v>
      </c>
      <c r="O190" t="str" cm="1">
        <f t="array" aca="1" ref="O190" ca="1">_xlfn.IFS(
L190&lt;=0,"Not Due",
L190&lt;=30,"0–30 Days",
L190&lt;=60,"31–60 Days",
L190&lt;=90,"61–90 Days",
L190&lt;=180,"91–180 Days",
L190&lt;=365,"181–365 Days",
L190&gt;365,"365+ Days (High Risk)"
)</f>
        <v>181–365 Days</v>
      </c>
      <c r="P190">
        <f t="shared" si="20"/>
        <v>0</v>
      </c>
      <c r="Q190" s="3">
        <f t="shared" ca="1" si="18"/>
        <v>358</v>
      </c>
    </row>
    <row r="191" spans="1:17" x14ac:dyDescent="0.25">
      <c r="A191" t="s">
        <v>195</v>
      </c>
      <c r="B191" t="s">
        <v>910</v>
      </c>
      <c r="C191" s="1">
        <v>45453</v>
      </c>
      <c r="D191" s="1">
        <v>45498</v>
      </c>
      <c r="E191">
        <v>6116.96</v>
      </c>
      <c r="F191" t="s">
        <v>914</v>
      </c>
      <c r="G191" t="s">
        <v>917</v>
      </c>
      <c r="I191" t="s">
        <v>919</v>
      </c>
      <c r="J191" t="b">
        <f t="shared" si="14"/>
        <v>1</v>
      </c>
      <c r="K191" s="3">
        <f t="shared" ca="1" si="15"/>
        <v>598</v>
      </c>
      <c r="L191" s="3">
        <f t="shared" ca="1" si="16"/>
        <v>553</v>
      </c>
      <c r="M191" t="str">
        <f t="shared" ca="1" si="17"/>
        <v>Overdue</v>
      </c>
      <c r="N191">
        <f t="shared" si="19"/>
        <v>6116.96</v>
      </c>
      <c r="O191" t="str" cm="1">
        <f t="array" aca="1" ref="O191" ca="1">_xlfn.IFS(
L191&lt;=0,"Not Due",
L191&lt;=30,"0–30 Days",
L191&lt;=60,"31–60 Days",
L191&lt;=90,"61–90 Days",
L191&lt;=180,"91–180 Days",
L191&lt;=365,"181–365 Days",
L191&gt;365,"365+ Days (High Risk)"
)</f>
        <v>365+ Days (High Risk)</v>
      </c>
      <c r="P191">
        <f t="shared" si="20"/>
        <v>0</v>
      </c>
      <c r="Q191" s="3">
        <f t="shared" ca="1" si="18"/>
        <v>6116.96</v>
      </c>
    </row>
    <row r="192" spans="1:17" x14ac:dyDescent="0.25">
      <c r="A192" t="s">
        <v>196</v>
      </c>
      <c r="B192" t="s">
        <v>910</v>
      </c>
      <c r="C192" s="1">
        <v>45068</v>
      </c>
      <c r="D192" s="1">
        <v>45113</v>
      </c>
      <c r="E192">
        <v>6724.64</v>
      </c>
      <c r="F192" t="s">
        <v>914</v>
      </c>
      <c r="G192" t="s">
        <v>918</v>
      </c>
      <c r="H192" s="1">
        <v>45113</v>
      </c>
      <c r="I192" t="s">
        <v>919</v>
      </c>
      <c r="J192" t="b">
        <f t="shared" si="14"/>
        <v>0</v>
      </c>
      <c r="K192" s="3">
        <f t="shared" ca="1" si="15"/>
        <v>45</v>
      </c>
      <c r="L192" s="3">
        <f t="shared" ca="1" si="16"/>
        <v>0</v>
      </c>
      <c r="M192" t="str">
        <f t="shared" ca="1" si="17"/>
        <v>On Time</v>
      </c>
      <c r="N192">
        <f t="shared" si="19"/>
        <v>0</v>
      </c>
      <c r="O192" t="str" cm="1">
        <f t="array" aca="1" ref="O192" ca="1">_xlfn.IFS(
L192&lt;=0,"Not Due",
L192&lt;=30,"0–30 Days",
L192&lt;=60,"31–60 Days",
L192&lt;=90,"61–90 Days",
L192&lt;=180,"91–180 Days",
L192&lt;=365,"181–365 Days",
L192&gt;365,"365+ Days (High Risk)"
)</f>
        <v>Not Due</v>
      </c>
      <c r="P192">
        <f t="shared" si="20"/>
        <v>6724.64</v>
      </c>
      <c r="Q192" s="3">
        <f t="shared" ca="1" si="18"/>
        <v>0</v>
      </c>
    </row>
    <row r="193" spans="1:17" x14ac:dyDescent="0.25">
      <c r="A193" t="s">
        <v>197</v>
      </c>
      <c r="B193" t="s">
        <v>906</v>
      </c>
      <c r="C193" s="1">
        <v>45682</v>
      </c>
      <c r="D193" s="1">
        <v>45727</v>
      </c>
      <c r="E193">
        <v>1713.9</v>
      </c>
      <c r="F193" t="s">
        <v>915</v>
      </c>
      <c r="G193" t="s">
        <v>918</v>
      </c>
      <c r="H193" s="1">
        <v>45727</v>
      </c>
      <c r="I193" t="s">
        <v>919</v>
      </c>
      <c r="J193" t="b">
        <f t="shared" si="14"/>
        <v>0</v>
      </c>
      <c r="K193" s="3">
        <f t="shared" ca="1" si="15"/>
        <v>45</v>
      </c>
      <c r="L193" s="3">
        <f t="shared" ca="1" si="16"/>
        <v>0</v>
      </c>
      <c r="M193" t="str">
        <f t="shared" ca="1" si="17"/>
        <v>On Time</v>
      </c>
      <c r="N193">
        <f t="shared" si="19"/>
        <v>0</v>
      </c>
      <c r="O193" t="str" cm="1">
        <f t="array" aca="1" ref="O193" ca="1">_xlfn.IFS(
L193&lt;=0,"Not Due",
L193&lt;=30,"0–30 Days",
L193&lt;=60,"31–60 Days",
L193&lt;=90,"61–90 Days",
L193&lt;=180,"91–180 Days",
L193&lt;=365,"181–365 Days",
L193&gt;365,"365+ Days (High Risk)"
)</f>
        <v>Not Due</v>
      </c>
      <c r="P193">
        <f t="shared" si="20"/>
        <v>1713.9</v>
      </c>
      <c r="Q193" s="3">
        <f t="shared" ca="1" si="18"/>
        <v>0</v>
      </c>
    </row>
    <row r="194" spans="1:17" x14ac:dyDescent="0.25">
      <c r="A194" t="s">
        <v>198</v>
      </c>
      <c r="B194" t="s">
        <v>907</v>
      </c>
      <c r="C194" s="1">
        <v>45006</v>
      </c>
      <c r="D194" s="1">
        <v>45051</v>
      </c>
      <c r="E194">
        <v>4500.46</v>
      </c>
      <c r="F194" t="s">
        <v>915</v>
      </c>
      <c r="G194" t="s">
        <v>917</v>
      </c>
      <c r="I194" t="s">
        <v>919</v>
      </c>
      <c r="J194" t="b">
        <f t="shared" ref="J194:J257" si="21">ISBLANK(H194)</f>
        <v>1</v>
      </c>
      <c r="K194" s="3">
        <f t="shared" ref="K194:K257" ca="1" si="22">IF(G194="Received",
IF(H194="",TODAY()-C194,H194-C194),
TODAY()-C194)</f>
        <v>1045</v>
      </c>
      <c r="L194" s="3">
        <f t="shared" ref="L194:L257" ca="1" si="23">IF(N194=0,0,TODAY()-D194)</f>
        <v>1000</v>
      </c>
      <c r="M194" t="str">
        <f t="shared" ref="M194:M257" ca="1" si="24">IF(L194&gt;0,"Overdue","On Time")</f>
        <v>Overdue</v>
      </c>
      <c r="N194">
        <f t="shared" si="19"/>
        <v>4500.46</v>
      </c>
      <c r="O194" t="str" cm="1">
        <f t="array" aca="1" ref="O194" ca="1">_xlfn.IFS(
L194&lt;=0,"Not Due",
L194&lt;=30,"0–30 Days",
L194&lt;=60,"31–60 Days",
L194&lt;=90,"61–90 Days",
L194&lt;=180,"91–180 Days",
L194&lt;=365,"181–365 Days",
L194&gt;365,"365+ Days (High Risk)"
)</f>
        <v>365+ Days (High Risk)</v>
      </c>
      <c r="P194">
        <f t="shared" si="20"/>
        <v>0</v>
      </c>
      <c r="Q194" s="3">
        <f t="shared" ref="Q194:Q257" ca="1" si="25">IF(L194&gt;0, N194, 0)</f>
        <v>4500.46</v>
      </c>
    </row>
    <row r="195" spans="1:17" x14ac:dyDescent="0.25">
      <c r="A195" t="s">
        <v>199</v>
      </c>
      <c r="B195" t="s">
        <v>908</v>
      </c>
      <c r="C195" s="1">
        <v>45189</v>
      </c>
      <c r="D195" s="1">
        <v>45234</v>
      </c>
      <c r="E195">
        <v>5401.26</v>
      </c>
      <c r="F195" t="s">
        <v>915</v>
      </c>
      <c r="G195" t="s">
        <v>917</v>
      </c>
      <c r="I195" t="s">
        <v>919</v>
      </c>
      <c r="J195" t="b">
        <f t="shared" si="21"/>
        <v>1</v>
      </c>
      <c r="K195" s="3">
        <f t="shared" ca="1" si="22"/>
        <v>862</v>
      </c>
      <c r="L195" s="3">
        <f t="shared" ca="1" si="23"/>
        <v>817</v>
      </c>
      <c r="M195" t="str">
        <f t="shared" ca="1" si="24"/>
        <v>Overdue</v>
      </c>
      <c r="N195">
        <f t="shared" ref="N195:N258" si="26">IF(G195="Received",0,E195)</f>
        <v>5401.26</v>
      </c>
      <c r="O195" t="str" cm="1">
        <f t="array" aca="1" ref="O195" ca="1">_xlfn.IFS(
L195&lt;=0,"Not Due",
L195&lt;=30,"0–30 Days",
L195&lt;=60,"31–60 Days",
L195&lt;=90,"61–90 Days",
L195&lt;=180,"91–180 Days",
L195&lt;=365,"181–365 Days",
L195&gt;365,"365+ Days (High Risk)"
)</f>
        <v>365+ Days (High Risk)</v>
      </c>
      <c r="P195">
        <f t="shared" ref="P195:P258" si="27">E195-N195</f>
        <v>0</v>
      </c>
      <c r="Q195" s="3">
        <f t="shared" ca="1" si="25"/>
        <v>5401.26</v>
      </c>
    </row>
    <row r="196" spans="1:17" x14ac:dyDescent="0.25">
      <c r="A196" t="s">
        <v>200</v>
      </c>
      <c r="B196" t="s">
        <v>908</v>
      </c>
      <c r="C196" s="1">
        <v>45695</v>
      </c>
      <c r="D196" s="1">
        <v>45740</v>
      </c>
      <c r="E196">
        <v>7173.1</v>
      </c>
      <c r="F196" t="s">
        <v>912</v>
      </c>
      <c r="G196" t="s">
        <v>918</v>
      </c>
      <c r="H196" s="1">
        <v>45740</v>
      </c>
      <c r="I196" t="s">
        <v>919</v>
      </c>
      <c r="J196" t="b">
        <f t="shared" si="21"/>
        <v>0</v>
      </c>
      <c r="K196" s="3">
        <f t="shared" ca="1" si="22"/>
        <v>45</v>
      </c>
      <c r="L196" s="3">
        <f t="shared" ca="1" si="23"/>
        <v>0</v>
      </c>
      <c r="M196" t="str">
        <f t="shared" ca="1" si="24"/>
        <v>On Time</v>
      </c>
      <c r="N196">
        <f t="shared" si="26"/>
        <v>0</v>
      </c>
      <c r="O196" t="str" cm="1">
        <f t="array" aca="1" ref="O196" ca="1">_xlfn.IFS(
L196&lt;=0,"Not Due",
L196&lt;=30,"0–30 Days",
L196&lt;=60,"31–60 Days",
L196&lt;=90,"61–90 Days",
L196&lt;=180,"91–180 Days",
L196&lt;=365,"181–365 Days",
L196&gt;365,"365+ Days (High Risk)"
)</f>
        <v>Not Due</v>
      </c>
      <c r="P196">
        <f t="shared" si="27"/>
        <v>7173.1</v>
      </c>
      <c r="Q196" s="3">
        <f t="shared" ca="1" si="25"/>
        <v>0</v>
      </c>
    </row>
    <row r="197" spans="1:17" x14ac:dyDescent="0.25">
      <c r="A197" t="s">
        <v>201</v>
      </c>
      <c r="B197" t="s">
        <v>910</v>
      </c>
      <c r="C197" s="1">
        <v>45122</v>
      </c>
      <c r="D197" s="1">
        <v>45167</v>
      </c>
      <c r="E197">
        <v>255.6</v>
      </c>
      <c r="F197" t="s">
        <v>913</v>
      </c>
      <c r="G197" t="s">
        <v>918</v>
      </c>
      <c r="H197" s="1">
        <v>45167</v>
      </c>
      <c r="I197" t="s">
        <v>919</v>
      </c>
      <c r="J197" t="b">
        <f t="shared" si="21"/>
        <v>0</v>
      </c>
      <c r="K197" s="3">
        <f t="shared" ca="1" si="22"/>
        <v>45</v>
      </c>
      <c r="L197" s="3">
        <f t="shared" ca="1" si="23"/>
        <v>0</v>
      </c>
      <c r="M197" t="str">
        <f t="shared" ca="1" si="24"/>
        <v>On Time</v>
      </c>
      <c r="N197">
        <f t="shared" si="26"/>
        <v>0</v>
      </c>
      <c r="O197" t="str" cm="1">
        <f t="array" aca="1" ref="O197" ca="1">_xlfn.IFS(
L197&lt;=0,"Not Due",
L197&lt;=30,"0–30 Days",
L197&lt;=60,"31–60 Days",
L197&lt;=90,"61–90 Days",
L197&lt;=180,"91–180 Days",
L197&lt;=365,"181–365 Days",
L197&gt;365,"365+ Days (High Risk)"
)</f>
        <v>Not Due</v>
      </c>
      <c r="P197">
        <f t="shared" si="27"/>
        <v>255.6</v>
      </c>
      <c r="Q197" s="3">
        <f t="shared" ca="1" si="25"/>
        <v>0</v>
      </c>
    </row>
    <row r="198" spans="1:17" x14ac:dyDescent="0.25">
      <c r="A198" t="s">
        <v>202</v>
      </c>
      <c r="B198" t="s">
        <v>906</v>
      </c>
      <c r="C198" s="1">
        <v>45758</v>
      </c>
      <c r="D198" s="1">
        <v>45803</v>
      </c>
      <c r="E198">
        <v>1321.36</v>
      </c>
      <c r="F198" t="s">
        <v>913</v>
      </c>
      <c r="G198" t="s">
        <v>917</v>
      </c>
      <c r="I198" t="s">
        <v>919</v>
      </c>
      <c r="J198" t="b">
        <f t="shared" si="21"/>
        <v>1</v>
      </c>
      <c r="K198" s="3">
        <f t="shared" ca="1" si="22"/>
        <v>293</v>
      </c>
      <c r="L198" s="3">
        <f t="shared" ca="1" si="23"/>
        <v>248</v>
      </c>
      <c r="M198" t="str">
        <f t="shared" ca="1" si="24"/>
        <v>Overdue</v>
      </c>
      <c r="N198">
        <f t="shared" si="26"/>
        <v>1321.36</v>
      </c>
      <c r="O198" t="str" cm="1">
        <f t="array" aca="1" ref="O198" ca="1">_xlfn.IFS(
L198&lt;=0,"Not Due",
L198&lt;=30,"0–30 Days",
L198&lt;=60,"31–60 Days",
L198&lt;=90,"61–90 Days",
L198&lt;=180,"91–180 Days",
L198&lt;=365,"181–365 Days",
L198&gt;365,"365+ Days (High Risk)"
)</f>
        <v>181–365 Days</v>
      </c>
      <c r="P198">
        <f t="shared" si="27"/>
        <v>0</v>
      </c>
      <c r="Q198" s="3">
        <f t="shared" ca="1" si="25"/>
        <v>1321.36</v>
      </c>
    </row>
    <row r="199" spans="1:17" x14ac:dyDescent="0.25">
      <c r="A199" t="s">
        <v>203</v>
      </c>
      <c r="B199" t="s">
        <v>908</v>
      </c>
      <c r="C199" s="1">
        <v>45694</v>
      </c>
      <c r="D199" s="1">
        <v>45739</v>
      </c>
      <c r="E199">
        <v>4239.62</v>
      </c>
      <c r="F199" t="s">
        <v>911</v>
      </c>
      <c r="G199" t="s">
        <v>918</v>
      </c>
      <c r="H199" s="1">
        <v>45739</v>
      </c>
      <c r="I199" t="s">
        <v>919</v>
      </c>
      <c r="J199" t="b">
        <f t="shared" si="21"/>
        <v>0</v>
      </c>
      <c r="K199" s="3">
        <f t="shared" ca="1" si="22"/>
        <v>45</v>
      </c>
      <c r="L199" s="3">
        <f t="shared" ca="1" si="23"/>
        <v>0</v>
      </c>
      <c r="M199" t="str">
        <f t="shared" ca="1" si="24"/>
        <v>On Time</v>
      </c>
      <c r="N199">
        <f t="shared" si="26"/>
        <v>0</v>
      </c>
      <c r="O199" t="str" cm="1">
        <f t="array" aca="1" ref="O199" ca="1">_xlfn.IFS(
L199&lt;=0,"Not Due",
L199&lt;=30,"0–30 Days",
L199&lt;=60,"31–60 Days",
L199&lt;=90,"61–90 Days",
L199&lt;=180,"91–180 Days",
L199&lt;=365,"181–365 Days",
L199&gt;365,"365+ Days (High Risk)"
)</f>
        <v>Not Due</v>
      </c>
      <c r="P199">
        <f t="shared" si="27"/>
        <v>4239.62</v>
      </c>
      <c r="Q199" s="3">
        <f t="shared" ca="1" si="25"/>
        <v>0</v>
      </c>
    </row>
    <row r="200" spans="1:17" x14ac:dyDescent="0.25">
      <c r="A200" t="s">
        <v>204</v>
      </c>
      <c r="B200" t="s">
        <v>906</v>
      </c>
      <c r="C200" s="1">
        <v>45447</v>
      </c>
      <c r="D200" s="1">
        <v>45492</v>
      </c>
      <c r="E200">
        <v>1910.09</v>
      </c>
      <c r="F200" t="s">
        <v>911</v>
      </c>
      <c r="G200" t="s">
        <v>917</v>
      </c>
      <c r="I200" t="s">
        <v>919</v>
      </c>
      <c r="J200" t="b">
        <f t="shared" si="21"/>
        <v>1</v>
      </c>
      <c r="K200" s="3">
        <f t="shared" ca="1" si="22"/>
        <v>604</v>
      </c>
      <c r="L200" s="3">
        <f t="shared" ca="1" si="23"/>
        <v>559</v>
      </c>
      <c r="M200" t="str">
        <f t="shared" ca="1" si="24"/>
        <v>Overdue</v>
      </c>
      <c r="N200">
        <f t="shared" si="26"/>
        <v>1910.09</v>
      </c>
      <c r="O200" t="str" cm="1">
        <f t="array" aca="1" ref="O200" ca="1">_xlfn.IFS(
L200&lt;=0,"Not Due",
L200&lt;=30,"0–30 Days",
L200&lt;=60,"31–60 Days",
L200&lt;=90,"61–90 Days",
L200&lt;=180,"91–180 Days",
L200&lt;=365,"181–365 Days",
L200&gt;365,"365+ Days (High Risk)"
)</f>
        <v>365+ Days (High Risk)</v>
      </c>
      <c r="P200">
        <f t="shared" si="27"/>
        <v>0</v>
      </c>
      <c r="Q200" s="3">
        <f t="shared" ca="1" si="25"/>
        <v>1910.09</v>
      </c>
    </row>
    <row r="201" spans="1:17" x14ac:dyDescent="0.25">
      <c r="A201" t="s">
        <v>205</v>
      </c>
      <c r="B201" t="s">
        <v>909</v>
      </c>
      <c r="C201" s="1">
        <v>44975</v>
      </c>
      <c r="D201" s="1">
        <v>45020</v>
      </c>
      <c r="E201">
        <v>1732.73</v>
      </c>
      <c r="F201" t="s">
        <v>915</v>
      </c>
      <c r="G201" t="s">
        <v>917</v>
      </c>
      <c r="I201" t="s">
        <v>919</v>
      </c>
      <c r="J201" t="b">
        <f t="shared" si="21"/>
        <v>1</v>
      </c>
      <c r="K201" s="3">
        <f t="shared" ca="1" si="22"/>
        <v>1076</v>
      </c>
      <c r="L201" s="3">
        <f t="shared" ca="1" si="23"/>
        <v>1031</v>
      </c>
      <c r="M201" t="str">
        <f t="shared" ca="1" si="24"/>
        <v>Overdue</v>
      </c>
      <c r="N201">
        <f t="shared" si="26"/>
        <v>1732.73</v>
      </c>
      <c r="O201" t="str" cm="1">
        <f t="array" aca="1" ref="O201" ca="1">_xlfn.IFS(
L201&lt;=0,"Not Due",
L201&lt;=30,"0–30 Days",
L201&lt;=60,"31–60 Days",
L201&lt;=90,"61–90 Days",
L201&lt;=180,"91–180 Days",
L201&lt;=365,"181–365 Days",
L201&gt;365,"365+ Days (High Risk)"
)</f>
        <v>365+ Days (High Risk)</v>
      </c>
      <c r="P201">
        <f t="shared" si="27"/>
        <v>0</v>
      </c>
      <c r="Q201" s="3">
        <f t="shared" ca="1" si="25"/>
        <v>1732.73</v>
      </c>
    </row>
    <row r="202" spans="1:17" x14ac:dyDescent="0.25">
      <c r="A202" t="s">
        <v>206</v>
      </c>
      <c r="B202" t="s">
        <v>908</v>
      </c>
      <c r="C202" s="1">
        <v>45235</v>
      </c>
      <c r="D202" s="1">
        <v>45280</v>
      </c>
      <c r="E202">
        <v>7442.79</v>
      </c>
      <c r="F202" t="s">
        <v>913</v>
      </c>
      <c r="G202" t="s">
        <v>916</v>
      </c>
      <c r="I202" t="s">
        <v>919</v>
      </c>
      <c r="J202" t="b">
        <f t="shared" si="21"/>
        <v>1</v>
      </c>
      <c r="K202" s="3">
        <f t="shared" ca="1" si="22"/>
        <v>816</v>
      </c>
      <c r="L202" s="3">
        <f t="shared" ca="1" si="23"/>
        <v>771</v>
      </c>
      <c r="M202" t="str">
        <f t="shared" ca="1" si="24"/>
        <v>Overdue</v>
      </c>
      <c r="N202">
        <f t="shared" si="26"/>
        <v>7442.79</v>
      </c>
      <c r="O202" t="str" cm="1">
        <f t="array" aca="1" ref="O202" ca="1">_xlfn.IFS(
L202&lt;=0,"Not Due",
L202&lt;=30,"0–30 Days",
L202&lt;=60,"31–60 Days",
L202&lt;=90,"61–90 Days",
L202&lt;=180,"91–180 Days",
L202&lt;=365,"181–365 Days",
L202&gt;365,"365+ Days (High Risk)"
)</f>
        <v>365+ Days (High Risk)</v>
      </c>
      <c r="P202">
        <f t="shared" si="27"/>
        <v>0</v>
      </c>
      <c r="Q202" s="3">
        <f t="shared" ca="1" si="25"/>
        <v>7442.79</v>
      </c>
    </row>
    <row r="203" spans="1:17" x14ac:dyDescent="0.25">
      <c r="A203" t="s">
        <v>207</v>
      </c>
      <c r="B203" t="s">
        <v>907</v>
      </c>
      <c r="C203" s="1">
        <v>45814</v>
      </c>
      <c r="D203" s="1">
        <v>45859</v>
      </c>
      <c r="E203">
        <v>7828.34</v>
      </c>
      <c r="F203" t="s">
        <v>914</v>
      </c>
      <c r="G203" t="s">
        <v>916</v>
      </c>
      <c r="I203" t="s">
        <v>919</v>
      </c>
      <c r="J203" t="b">
        <f t="shared" si="21"/>
        <v>1</v>
      </c>
      <c r="K203" s="3">
        <f t="shared" ca="1" si="22"/>
        <v>237</v>
      </c>
      <c r="L203" s="3">
        <f t="shared" ca="1" si="23"/>
        <v>192</v>
      </c>
      <c r="M203" t="str">
        <f t="shared" ca="1" si="24"/>
        <v>Overdue</v>
      </c>
      <c r="N203">
        <f t="shared" si="26"/>
        <v>7828.34</v>
      </c>
      <c r="O203" t="str" cm="1">
        <f t="array" aca="1" ref="O203" ca="1">_xlfn.IFS(
L203&lt;=0,"Not Due",
L203&lt;=30,"0–30 Days",
L203&lt;=60,"31–60 Days",
L203&lt;=90,"61–90 Days",
L203&lt;=180,"91–180 Days",
L203&lt;=365,"181–365 Days",
L203&gt;365,"365+ Days (High Risk)"
)</f>
        <v>181–365 Days</v>
      </c>
      <c r="P203">
        <f t="shared" si="27"/>
        <v>0</v>
      </c>
      <c r="Q203" s="3">
        <f t="shared" ca="1" si="25"/>
        <v>7828.34</v>
      </c>
    </row>
    <row r="204" spans="1:17" x14ac:dyDescent="0.25">
      <c r="A204" t="s">
        <v>208</v>
      </c>
      <c r="B204" t="s">
        <v>910</v>
      </c>
      <c r="C204" s="1">
        <v>44927</v>
      </c>
      <c r="D204" s="1">
        <v>44972</v>
      </c>
      <c r="E204">
        <v>3603.21</v>
      </c>
      <c r="F204" t="s">
        <v>913</v>
      </c>
      <c r="G204" t="s">
        <v>917</v>
      </c>
      <c r="I204" t="s">
        <v>919</v>
      </c>
      <c r="J204" t="b">
        <f t="shared" si="21"/>
        <v>1</v>
      </c>
      <c r="K204" s="3">
        <f t="shared" ca="1" si="22"/>
        <v>1124</v>
      </c>
      <c r="L204" s="3">
        <f t="shared" ca="1" si="23"/>
        <v>1079</v>
      </c>
      <c r="M204" t="str">
        <f t="shared" ca="1" si="24"/>
        <v>Overdue</v>
      </c>
      <c r="N204">
        <f t="shared" si="26"/>
        <v>3603.21</v>
      </c>
      <c r="O204" t="str" cm="1">
        <f t="array" aca="1" ref="O204" ca="1">_xlfn.IFS(
L204&lt;=0,"Not Due",
L204&lt;=30,"0–30 Days",
L204&lt;=60,"31–60 Days",
L204&lt;=90,"61–90 Days",
L204&lt;=180,"91–180 Days",
L204&lt;=365,"181–365 Days",
L204&gt;365,"365+ Days (High Risk)"
)</f>
        <v>365+ Days (High Risk)</v>
      </c>
      <c r="P204">
        <f t="shared" si="27"/>
        <v>0</v>
      </c>
      <c r="Q204" s="3">
        <f t="shared" ca="1" si="25"/>
        <v>3603.21</v>
      </c>
    </row>
    <row r="205" spans="1:17" x14ac:dyDescent="0.25">
      <c r="A205" t="s">
        <v>209</v>
      </c>
      <c r="B205" t="s">
        <v>908</v>
      </c>
      <c r="C205" s="1">
        <v>44934</v>
      </c>
      <c r="D205" s="1">
        <v>44979</v>
      </c>
      <c r="E205">
        <v>3256.73</v>
      </c>
      <c r="F205" t="s">
        <v>914</v>
      </c>
      <c r="G205" t="s">
        <v>918</v>
      </c>
      <c r="H205" s="1">
        <v>44979</v>
      </c>
      <c r="I205" t="s">
        <v>919</v>
      </c>
      <c r="J205" t="b">
        <f t="shared" si="21"/>
        <v>0</v>
      </c>
      <c r="K205" s="3">
        <f t="shared" ca="1" si="22"/>
        <v>45</v>
      </c>
      <c r="L205" s="3">
        <f t="shared" ca="1" si="23"/>
        <v>0</v>
      </c>
      <c r="M205" t="str">
        <f t="shared" ca="1" si="24"/>
        <v>On Time</v>
      </c>
      <c r="N205">
        <f t="shared" si="26"/>
        <v>0</v>
      </c>
      <c r="O205" t="str" cm="1">
        <f t="array" aca="1" ref="O205" ca="1">_xlfn.IFS(
L205&lt;=0,"Not Due",
L205&lt;=30,"0–30 Days",
L205&lt;=60,"31–60 Days",
L205&lt;=90,"61–90 Days",
L205&lt;=180,"91–180 Days",
L205&lt;=365,"181–365 Days",
L205&gt;365,"365+ Days (High Risk)"
)</f>
        <v>Not Due</v>
      </c>
      <c r="P205">
        <f t="shared" si="27"/>
        <v>3256.73</v>
      </c>
      <c r="Q205" s="3">
        <f t="shared" ca="1" si="25"/>
        <v>0</v>
      </c>
    </row>
    <row r="206" spans="1:17" x14ac:dyDescent="0.25">
      <c r="A206" t="s">
        <v>210</v>
      </c>
      <c r="B206" t="s">
        <v>906</v>
      </c>
      <c r="C206" s="1">
        <v>45142</v>
      </c>
      <c r="D206" s="1">
        <v>45187</v>
      </c>
      <c r="E206">
        <v>694.22</v>
      </c>
      <c r="F206" t="s">
        <v>915</v>
      </c>
      <c r="G206" t="s">
        <v>918</v>
      </c>
      <c r="H206" s="1">
        <v>45187</v>
      </c>
      <c r="I206" t="s">
        <v>919</v>
      </c>
      <c r="J206" t="b">
        <f t="shared" si="21"/>
        <v>0</v>
      </c>
      <c r="K206" s="3">
        <f t="shared" ca="1" si="22"/>
        <v>45</v>
      </c>
      <c r="L206" s="3">
        <f t="shared" ca="1" si="23"/>
        <v>0</v>
      </c>
      <c r="M206" t="str">
        <f t="shared" ca="1" si="24"/>
        <v>On Time</v>
      </c>
      <c r="N206">
        <f t="shared" si="26"/>
        <v>0</v>
      </c>
      <c r="O206" t="str" cm="1">
        <f t="array" aca="1" ref="O206" ca="1">_xlfn.IFS(
L206&lt;=0,"Not Due",
L206&lt;=30,"0–30 Days",
L206&lt;=60,"31–60 Days",
L206&lt;=90,"61–90 Days",
L206&lt;=180,"91–180 Days",
L206&lt;=365,"181–365 Days",
L206&gt;365,"365+ Days (High Risk)"
)</f>
        <v>Not Due</v>
      </c>
      <c r="P206">
        <f t="shared" si="27"/>
        <v>694.22</v>
      </c>
      <c r="Q206" s="3">
        <f t="shared" ca="1" si="25"/>
        <v>0</v>
      </c>
    </row>
    <row r="207" spans="1:17" x14ac:dyDescent="0.25">
      <c r="A207" t="s">
        <v>211</v>
      </c>
      <c r="B207" t="s">
        <v>909</v>
      </c>
      <c r="C207" s="1">
        <v>44948</v>
      </c>
      <c r="D207" s="1">
        <v>44993</v>
      </c>
      <c r="E207">
        <v>4742.33</v>
      </c>
      <c r="F207" t="s">
        <v>911</v>
      </c>
      <c r="G207" t="s">
        <v>917</v>
      </c>
      <c r="I207" t="s">
        <v>919</v>
      </c>
      <c r="J207" t="b">
        <f t="shared" si="21"/>
        <v>1</v>
      </c>
      <c r="K207" s="3">
        <f t="shared" ca="1" si="22"/>
        <v>1103</v>
      </c>
      <c r="L207" s="3">
        <f t="shared" ca="1" si="23"/>
        <v>1058</v>
      </c>
      <c r="M207" t="str">
        <f t="shared" ca="1" si="24"/>
        <v>Overdue</v>
      </c>
      <c r="N207">
        <f t="shared" si="26"/>
        <v>4742.33</v>
      </c>
      <c r="O207" t="str" cm="1">
        <f t="array" aca="1" ref="O207" ca="1">_xlfn.IFS(
L207&lt;=0,"Not Due",
L207&lt;=30,"0–30 Days",
L207&lt;=60,"31–60 Days",
L207&lt;=90,"61–90 Days",
L207&lt;=180,"91–180 Days",
L207&lt;=365,"181–365 Days",
L207&gt;365,"365+ Days (High Risk)"
)</f>
        <v>365+ Days (High Risk)</v>
      </c>
      <c r="P207">
        <f t="shared" si="27"/>
        <v>0</v>
      </c>
      <c r="Q207" s="3">
        <f t="shared" ca="1" si="25"/>
        <v>4742.33</v>
      </c>
    </row>
    <row r="208" spans="1:17" x14ac:dyDescent="0.25">
      <c r="A208" t="s">
        <v>212</v>
      </c>
      <c r="B208" t="s">
        <v>907</v>
      </c>
      <c r="C208" s="1">
        <v>45695</v>
      </c>
      <c r="D208" s="1">
        <v>45740</v>
      </c>
      <c r="E208">
        <v>5745.4</v>
      </c>
      <c r="F208" t="s">
        <v>914</v>
      </c>
      <c r="G208" t="s">
        <v>916</v>
      </c>
      <c r="I208" t="s">
        <v>919</v>
      </c>
      <c r="J208" t="b">
        <f t="shared" si="21"/>
        <v>1</v>
      </c>
      <c r="K208" s="3">
        <f t="shared" ca="1" si="22"/>
        <v>356</v>
      </c>
      <c r="L208" s="3">
        <f t="shared" ca="1" si="23"/>
        <v>311</v>
      </c>
      <c r="M208" t="str">
        <f t="shared" ca="1" si="24"/>
        <v>Overdue</v>
      </c>
      <c r="N208">
        <f t="shared" si="26"/>
        <v>5745.4</v>
      </c>
      <c r="O208" t="str" cm="1">
        <f t="array" aca="1" ref="O208" ca="1">_xlfn.IFS(
L208&lt;=0,"Not Due",
L208&lt;=30,"0–30 Days",
L208&lt;=60,"31–60 Days",
L208&lt;=90,"61–90 Days",
L208&lt;=180,"91–180 Days",
L208&lt;=365,"181–365 Days",
L208&gt;365,"365+ Days (High Risk)"
)</f>
        <v>181–365 Days</v>
      </c>
      <c r="P208">
        <f t="shared" si="27"/>
        <v>0</v>
      </c>
      <c r="Q208" s="3">
        <f t="shared" ca="1" si="25"/>
        <v>5745.4</v>
      </c>
    </row>
    <row r="209" spans="1:17" x14ac:dyDescent="0.25">
      <c r="A209" t="s">
        <v>213</v>
      </c>
      <c r="B209" t="s">
        <v>909</v>
      </c>
      <c r="C209" s="1">
        <v>45125</v>
      </c>
      <c r="D209" s="1">
        <v>45170</v>
      </c>
      <c r="E209">
        <v>6440.55</v>
      </c>
      <c r="F209" t="s">
        <v>911</v>
      </c>
      <c r="G209" t="s">
        <v>916</v>
      </c>
      <c r="I209" t="s">
        <v>919</v>
      </c>
      <c r="J209" t="b">
        <f t="shared" si="21"/>
        <v>1</v>
      </c>
      <c r="K209" s="3">
        <f t="shared" ca="1" si="22"/>
        <v>926</v>
      </c>
      <c r="L209" s="3">
        <f t="shared" ca="1" si="23"/>
        <v>881</v>
      </c>
      <c r="M209" t="str">
        <f t="shared" ca="1" si="24"/>
        <v>Overdue</v>
      </c>
      <c r="N209">
        <f t="shared" si="26"/>
        <v>6440.55</v>
      </c>
      <c r="O209" t="str" cm="1">
        <f t="array" aca="1" ref="O209" ca="1">_xlfn.IFS(
L209&lt;=0,"Not Due",
L209&lt;=30,"0–30 Days",
L209&lt;=60,"31–60 Days",
L209&lt;=90,"61–90 Days",
L209&lt;=180,"91–180 Days",
L209&lt;=365,"181–365 Days",
L209&gt;365,"365+ Days (High Risk)"
)</f>
        <v>365+ Days (High Risk)</v>
      </c>
      <c r="P209">
        <f t="shared" si="27"/>
        <v>0</v>
      </c>
      <c r="Q209" s="3">
        <f t="shared" ca="1" si="25"/>
        <v>6440.55</v>
      </c>
    </row>
    <row r="210" spans="1:17" x14ac:dyDescent="0.25">
      <c r="A210" t="s">
        <v>214</v>
      </c>
      <c r="B210" t="s">
        <v>907</v>
      </c>
      <c r="C210" s="1">
        <v>45386</v>
      </c>
      <c r="D210" s="1">
        <v>45431</v>
      </c>
      <c r="E210">
        <v>5467.97</v>
      </c>
      <c r="F210" t="s">
        <v>914</v>
      </c>
      <c r="G210" t="s">
        <v>918</v>
      </c>
      <c r="H210" s="1">
        <v>45431</v>
      </c>
      <c r="I210" t="s">
        <v>919</v>
      </c>
      <c r="J210" t="b">
        <f t="shared" si="21"/>
        <v>0</v>
      </c>
      <c r="K210" s="3">
        <f t="shared" ca="1" si="22"/>
        <v>45</v>
      </c>
      <c r="L210" s="3">
        <f t="shared" ca="1" si="23"/>
        <v>0</v>
      </c>
      <c r="M210" t="str">
        <f t="shared" ca="1" si="24"/>
        <v>On Time</v>
      </c>
      <c r="N210">
        <f t="shared" si="26"/>
        <v>0</v>
      </c>
      <c r="O210" t="str" cm="1">
        <f t="array" aca="1" ref="O210" ca="1">_xlfn.IFS(
L210&lt;=0,"Not Due",
L210&lt;=30,"0–30 Days",
L210&lt;=60,"31–60 Days",
L210&lt;=90,"61–90 Days",
L210&lt;=180,"91–180 Days",
L210&lt;=365,"181–365 Days",
L210&gt;365,"365+ Days (High Risk)"
)</f>
        <v>Not Due</v>
      </c>
      <c r="P210">
        <f t="shared" si="27"/>
        <v>5467.97</v>
      </c>
      <c r="Q210" s="3">
        <f t="shared" ca="1" si="25"/>
        <v>0</v>
      </c>
    </row>
    <row r="211" spans="1:17" x14ac:dyDescent="0.25">
      <c r="A211" t="s">
        <v>215</v>
      </c>
      <c r="B211" t="s">
        <v>910</v>
      </c>
      <c r="C211" s="1">
        <v>45785</v>
      </c>
      <c r="D211" s="1">
        <v>45830</v>
      </c>
      <c r="E211">
        <v>3067.69</v>
      </c>
      <c r="F211" t="s">
        <v>913</v>
      </c>
      <c r="G211" t="s">
        <v>916</v>
      </c>
      <c r="I211" t="s">
        <v>919</v>
      </c>
      <c r="J211" t="b">
        <f t="shared" si="21"/>
        <v>1</v>
      </c>
      <c r="K211" s="3">
        <f t="shared" ca="1" si="22"/>
        <v>266</v>
      </c>
      <c r="L211" s="3">
        <f t="shared" ca="1" si="23"/>
        <v>221</v>
      </c>
      <c r="M211" t="str">
        <f t="shared" ca="1" si="24"/>
        <v>Overdue</v>
      </c>
      <c r="N211">
        <f t="shared" si="26"/>
        <v>3067.69</v>
      </c>
      <c r="O211" t="str" cm="1">
        <f t="array" aca="1" ref="O211" ca="1">_xlfn.IFS(
L211&lt;=0,"Not Due",
L211&lt;=30,"0–30 Days",
L211&lt;=60,"31–60 Days",
L211&lt;=90,"61–90 Days",
L211&lt;=180,"91–180 Days",
L211&lt;=365,"181–365 Days",
L211&gt;365,"365+ Days (High Risk)"
)</f>
        <v>181–365 Days</v>
      </c>
      <c r="P211">
        <f t="shared" si="27"/>
        <v>0</v>
      </c>
      <c r="Q211" s="3">
        <f t="shared" ca="1" si="25"/>
        <v>3067.69</v>
      </c>
    </row>
    <row r="212" spans="1:17" x14ac:dyDescent="0.25">
      <c r="A212" t="s">
        <v>216</v>
      </c>
      <c r="B212" t="s">
        <v>908</v>
      </c>
      <c r="C212" s="1">
        <v>45091</v>
      </c>
      <c r="D212" s="1">
        <v>45136</v>
      </c>
      <c r="E212">
        <v>3030.85</v>
      </c>
      <c r="F212" t="s">
        <v>915</v>
      </c>
      <c r="G212" t="s">
        <v>916</v>
      </c>
      <c r="I212" t="s">
        <v>919</v>
      </c>
      <c r="J212" t="b">
        <f t="shared" si="21"/>
        <v>1</v>
      </c>
      <c r="K212" s="3">
        <f t="shared" ca="1" si="22"/>
        <v>960</v>
      </c>
      <c r="L212" s="3">
        <f t="shared" ca="1" si="23"/>
        <v>915</v>
      </c>
      <c r="M212" t="str">
        <f t="shared" ca="1" si="24"/>
        <v>Overdue</v>
      </c>
      <c r="N212">
        <f t="shared" si="26"/>
        <v>3030.85</v>
      </c>
      <c r="O212" t="str" cm="1">
        <f t="array" aca="1" ref="O212" ca="1">_xlfn.IFS(
L212&lt;=0,"Not Due",
L212&lt;=30,"0–30 Days",
L212&lt;=60,"31–60 Days",
L212&lt;=90,"61–90 Days",
L212&lt;=180,"91–180 Days",
L212&lt;=365,"181–365 Days",
L212&gt;365,"365+ Days (High Risk)"
)</f>
        <v>365+ Days (High Risk)</v>
      </c>
      <c r="P212">
        <f t="shared" si="27"/>
        <v>0</v>
      </c>
      <c r="Q212" s="3">
        <f t="shared" ca="1" si="25"/>
        <v>3030.85</v>
      </c>
    </row>
    <row r="213" spans="1:17" x14ac:dyDescent="0.25">
      <c r="A213" t="s">
        <v>217</v>
      </c>
      <c r="B213" t="s">
        <v>909</v>
      </c>
      <c r="C213" s="1">
        <v>45756</v>
      </c>
      <c r="D213" s="1">
        <v>45801</v>
      </c>
      <c r="E213">
        <v>4387.58</v>
      </c>
      <c r="F213" t="s">
        <v>912</v>
      </c>
      <c r="G213" t="s">
        <v>918</v>
      </c>
      <c r="H213" s="1">
        <v>45801</v>
      </c>
      <c r="I213" t="s">
        <v>919</v>
      </c>
      <c r="J213" t="b">
        <f t="shared" si="21"/>
        <v>0</v>
      </c>
      <c r="K213" s="3">
        <f t="shared" ca="1" si="22"/>
        <v>45</v>
      </c>
      <c r="L213" s="3">
        <f t="shared" ca="1" si="23"/>
        <v>0</v>
      </c>
      <c r="M213" t="str">
        <f t="shared" ca="1" si="24"/>
        <v>On Time</v>
      </c>
      <c r="N213">
        <f t="shared" si="26"/>
        <v>0</v>
      </c>
      <c r="O213" t="str" cm="1">
        <f t="array" aca="1" ref="O213" ca="1">_xlfn.IFS(
L213&lt;=0,"Not Due",
L213&lt;=30,"0–30 Days",
L213&lt;=60,"31–60 Days",
L213&lt;=90,"61–90 Days",
L213&lt;=180,"91–180 Days",
L213&lt;=365,"181–365 Days",
L213&gt;365,"365+ Days (High Risk)"
)</f>
        <v>Not Due</v>
      </c>
      <c r="P213">
        <f t="shared" si="27"/>
        <v>4387.58</v>
      </c>
      <c r="Q213" s="3">
        <f t="shared" ca="1" si="25"/>
        <v>0</v>
      </c>
    </row>
    <row r="214" spans="1:17" x14ac:dyDescent="0.25">
      <c r="A214" t="s">
        <v>218</v>
      </c>
      <c r="B214" t="s">
        <v>906</v>
      </c>
      <c r="C214" s="1">
        <v>45119</v>
      </c>
      <c r="D214" s="1">
        <v>45164</v>
      </c>
      <c r="E214">
        <v>970.15</v>
      </c>
      <c r="F214" t="s">
        <v>912</v>
      </c>
      <c r="G214" t="s">
        <v>918</v>
      </c>
      <c r="H214" s="1">
        <v>45164</v>
      </c>
      <c r="I214" t="s">
        <v>919</v>
      </c>
      <c r="J214" t="b">
        <f t="shared" si="21"/>
        <v>0</v>
      </c>
      <c r="K214" s="3">
        <f t="shared" ca="1" si="22"/>
        <v>45</v>
      </c>
      <c r="L214" s="3">
        <f t="shared" ca="1" si="23"/>
        <v>0</v>
      </c>
      <c r="M214" t="str">
        <f t="shared" ca="1" si="24"/>
        <v>On Time</v>
      </c>
      <c r="N214">
        <f t="shared" si="26"/>
        <v>0</v>
      </c>
      <c r="O214" t="str" cm="1">
        <f t="array" aca="1" ref="O214" ca="1">_xlfn.IFS(
L214&lt;=0,"Not Due",
L214&lt;=30,"0–30 Days",
L214&lt;=60,"31–60 Days",
L214&lt;=90,"61–90 Days",
L214&lt;=180,"91–180 Days",
L214&lt;=365,"181–365 Days",
L214&gt;365,"365+ Days (High Risk)"
)</f>
        <v>Not Due</v>
      </c>
      <c r="P214">
        <f t="shared" si="27"/>
        <v>970.15</v>
      </c>
      <c r="Q214" s="3">
        <f t="shared" ca="1" si="25"/>
        <v>0</v>
      </c>
    </row>
    <row r="215" spans="1:17" x14ac:dyDescent="0.25">
      <c r="A215" t="s">
        <v>219</v>
      </c>
      <c r="B215" t="s">
        <v>909</v>
      </c>
      <c r="C215" s="1">
        <v>45038</v>
      </c>
      <c r="D215" s="1">
        <v>45083</v>
      </c>
      <c r="E215">
        <v>6545.56</v>
      </c>
      <c r="F215" t="s">
        <v>913</v>
      </c>
      <c r="G215" t="s">
        <v>916</v>
      </c>
      <c r="I215" t="s">
        <v>919</v>
      </c>
      <c r="J215" t="b">
        <f t="shared" si="21"/>
        <v>1</v>
      </c>
      <c r="K215" s="3">
        <f t="shared" ca="1" si="22"/>
        <v>1013</v>
      </c>
      <c r="L215" s="3">
        <f t="shared" ca="1" si="23"/>
        <v>968</v>
      </c>
      <c r="M215" t="str">
        <f t="shared" ca="1" si="24"/>
        <v>Overdue</v>
      </c>
      <c r="N215">
        <f t="shared" si="26"/>
        <v>6545.56</v>
      </c>
      <c r="O215" t="str" cm="1">
        <f t="array" aca="1" ref="O215" ca="1">_xlfn.IFS(
L215&lt;=0,"Not Due",
L215&lt;=30,"0–30 Days",
L215&lt;=60,"31–60 Days",
L215&lt;=90,"61–90 Days",
L215&lt;=180,"91–180 Days",
L215&lt;=365,"181–365 Days",
L215&gt;365,"365+ Days (High Risk)"
)</f>
        <v>365+ Days (High Risk)</v>
      </c>
      <c r="P215">
        <f t="shared" si="27"/>
        <v>0</v>
      </c>
      <c r="Q215" s="3">
        <f t="shared" ca="1" si="25"/>
        <v>6545.56</v>
      </c>
    </row>
    <row r="216" spans="1:17" x14ac:dyDescent="0.25">
      <c r="A216" t="s">
        <v>220</v>
      </c>
      <c r="B216" t="s">
        <v>908</v>
      </c>
      <c r="C216" s="1">
        <v>45246</v>
      </c>
      <c r="D216" s="1">
        <v>45291</v>
      </c>
      <c r="E216">
        <v>4888.93</v>
      </c>
      <c r="F216" t="s">
        <v>914</v>
      </c>
      <c r="G216" t="s">
        <v>917</v>
      </c>
      <c r="I216" t="s">
        <v>919</v>
      </c>
      <c r="J216" t="b">
        <f t="shared" si="21"/>
        <v>1</v>
      </c>
      <c r="K216" s="3">
        <f t="shared" ca="1" si="22"/>
        <v>805</v>
      </c>
      <c r="L216" s="3">
        <f t="shared" ca="1" si="23"/>
        <v>760</v>
      </c>
      <c r="M216" t="str">
        <f t="shared" ca="1" si="24"/>
        <v>Overdue</v>
      </c>
      <c r="N216">
        <f t="shared" si="26"/>
        <v>4888.93</v>
      </c>
      <c r="O216" t="str" cm="1">
        <f t="array" aca="1" ref="O216" ca="1">_xlfn.IFS(
L216&lt;=0,"Not Due",
L216&lt;=30,"0–30 Days",
L216&lt;=60,"31–60 Days",
L216&lt;=90,"61–90 Days",
L216&lt;=180,"91–180 Days",
L216&lt;=365,"181–365 Days",
L216&gt;365,"365+ Days (High Risk)"
)</f>
        <v>365+ Days (High Risk)</v>
      </c>
      <c r="P216">
        <f t="shared" si="27"/>
        <v>0</v>
      </c>
      <c r="Q216" s="3">
        <f t="shared" ca="1" si="25"/>
        <v>4888.93</v>
      </c>
    </row>
    <row r="217" spans="1:17" x14ac:dyDescent="0.25">
      <c r="A217" t="s">
        <v>221</v>
      </c>
      <c r="B217" t="s">
        <v>907</v>
      </c>
      <c r="C217" s="1">
        <v>45172</v>
      </c>
      <c r="D217" s="1">
        <v>45217</v>
      </c>
      <c r="E217">
        <v>354.48</v>
      </c>
      <c r="F217" t="s">
        <v>912</v>
      </c>
      <c r="G217" t="s">
        <v>918</v>
      </c>
      <c r="H217" s="1">
        <v>45217</v>
      </c>
      <c r="I217" t="s">
        <v>919</v>
      </c>
      <c r="J217" t="b">
        <f t="shared" si="21"/>
        <v>0</v>
      </c>
      <c r="K217" s="3">
        <f t="shared" ca="1" si="22"/>
        <v>45</v>
      </c>
      <c r="L217" s="3">
        <f t="shared" ca="1" si="23"/>
        <v>0</v>
      </c>
      <c r="M217" t="str">
        <f t="shared" ca="1" si="24"/>
        <v>On Time</v>
      </c>
      <c r="N217">
        <f t="shared" si="26"/>
        <v>0</v>
      </c>
      <c r="O217" t="str" cm="1">
        <f t="array" aca="1" ref="O217" ca="1">_xlfn.IFS(
L217&lt;=0,"Not Due",
L217&lt;=30,"0–30 Days",
L217&lt;=60,"31–60 Days",
L217&lt;=90,"61–90 Days",
L217&lt;=180,"91–180 Days",
L217&lt;=365,"181–365 Days",
L217&gt;365,"365+ Days (High Risk)"
)</f>
        <v>Not Due</v>
      </c>
      <c r="P217">
        <f t="shared" si="27"/>
        <v>354.48</v>
      </c>
      <c r="Q217" s="3">
        <f t="shared" ca="1" si="25"/>
        <v>0</v>
      </c>
    </row>
    <row r="218" spans="1:17" x14ac:dyDescent="0.25">
      <c r="A218" t="s">
        <v>222</v>
      </c>
      <c r="B218" t="s">
        <v>909</v>
      </c>
      <c r="C218" s="1">
        <v>45308</v>
      </c>
      <c r="D218" s="1">
        <v>45353</v>
      </c>
      <c r="E218">
        <v>657.87</v>
      </c>
      <c r="F218" t="s">
        <v>914</v>
      </c>
      <c r="G218" t="s">
        <v>918</v>
      </c>
      <c r="H218" s="1">
        <v>45353</v>
      </c>
      <c r="I218" t="s">
        <v>919</v>
      </c>
      <c r="J218" t="b">
        <f t="shared" si="21"/>
        <v>0</v>
      </c>
      <c r="K218" s="3">
        <f t="shared" ca="1" si="22"/>
        <v>45</v>
      </c>
      <c r="L218" s="3">
        <f t="shared" ca="1" si="23"/>
        <v>0</v>
      </c>
      <c r="M218" t="str">
        <f t="shared" ca="1" si="24"/>
        <v>On Time</v>
      </c>
      <c r="N218">
        <f t="shared" si="26"/>
        <v>0</v>
      </c>
      <c r="O218" t="str" cm="1">
        <f t="array" aca="1" ref="O218" ca="1">_xlfn.IFS(
L218&lt;=0,"Not Due",
L218&lt;=30,"0–30 Days",
L218&lt;=60,"31–60 Days",
L218&lt;=90,"61–90 Days",
L218&lt;=180,"91–180 Days",
L218&lt;=365,"181–365 Days",
L218&gt;365,"365+ Days (High Risk)"
)</f>
        <v>Not Due</v>
      </c>
      <c r="P218">
        <f t="shared" si="27"/>
        <v>657.87</v>
      </c>
      <c r="Q218" s="3">
        <f t="shared" ca="1" si="25"/>
        <v>0</v>
      </c>
    </row>
    <row r="219" spans="1:17" x14ac:dyDescent="0.25">
      <c r="A219" t="s">
        <v>223</v>
      </c>
      <c r="B219" t="s">
        <v>909</v>
      </c>
      <c r="C219" s="1">
        <v>45012</v>
      </c>
      <c r="D219" s="1">
        <v>45057</v>
      </c>
      <c r="E219">
        <v>3415.75</v>
      </c>
      <c r="F219" t="s">
        <v>912</v>
      </c>
      <c r="G219" t="s">
        <v>917</v>
      </c>
      <c r="I219" t="s">
        <v>919</v>
      </c>
      <c r="J219" t="b">
        <f t="shared" si="21"/>
        <v>1</v>
      </c>
      <c r="K219" s="3">
        <f t="shared" ca="1" si="22"/>
        <v>1039</v>
      </c>
      <c r="L219" s="3">
        <f t="shared" ca="1" si="23"/>
        <v>994</v>
      </c>
      <c r="M219" t="str">
        <f t="shared" ca="1" si="24"/>
        <v>Overdue</v>
      </c>
      <c r="N219">
        <f t="shared" si="26"/>
        <v>3415.75</v>
      </c>
      <c r="O219" t="str" cm="1">
        <f t="array" aca="1" ref="O219" ca="1">_xlfn.IFS(
L219&lt;=0,"Not Due",
L219&lt;=30,"0–30 Days",
L219&lt;=60,"31–60 Days",
L219&lt;=90,"61–90 Days",
L219&lt;=180,"91–180 Days",
L219&lt;=365,"181–365 Days",
L219&gt;365,"365+ Days (High Risk)"
)</f>
        <v>365+ Days (High Risk)</v>
      </c>
      <c r="P219">
        <f t="shared" si="27"/>
        <v>0</v>
      </c>
      <c r="Q219" s="3">
        <f t="shared" ca="1" si="25"/>
        <v>3415.75</v>
      </c>
    </row>
    <row r="220" spans="1:17" x14ac:dyDescent="0.25">
      <c r="A220" t="s">
        <v>224</v>
      </c>
      <c r="B220" t="s">
        <v>907</v>
      </c>
      <c r="C220" s="1">
        <v>45768</v>
      </c>
      <c r="D220" s="1">
        <v>45813</v>
      </c>
      <c r="E220">
        <v>1884.26</v>
      </c>
      <c r="F220" t="s">
        <v>911</v>
      </c>
      <c r="G220" t="s">
        <v>918</v>
      </c>
      <c r="H220" s="1">
        <v>45813</v>
      </c>
      <c r="I220" t="s">
        <v>919</v>
      </c>
      <c r="J220" t="b">
        <f t="shared" si="21"/>
        <v>0</v>
      </c>
      <c r="K220" s="3">
        <f t="shared" ca="1" si="22"/>
        <v>45</v>
      </c>
      <c r="L220" s="3">
        <f t="shared" ca="1" si="23"/>
        <v>0</v>
      </c>
      <c r="M220" t="str">
        <f t="shared" ca="1" si="24"/>
        <v>On Time</v>
      </c>
      <c r="N220">
        <f t="shared" si="26"/>
        <v>0</v>
      </c>
      <c r="O220" t="str" cm="1">
        <f t="array" aca="1" ref="O220" ca="1">_xlfn.IFS(
L220&lt;=0,"Not Due",
L220&lt;=30,"0–30 Days",
L220&lt;=60,"31–60 Days",
L220&lt;=90,"61–90 Days",
L220&lt;=180,"91–180 Days",
L220&lt;=365,"181–365 Days",
L220&gt;365,"365+ Days (High Risk)"
)</f>
        <v>Not Due</v>
      </c>
      <c r="P220">
        <f t="shared" si="27"/>
        <v>1884.26</v>
      </c>
      <c r="Q220" s="3">
        <f t="shared" ca="1" si="25"/>
        <v>0</v>
      </c>
    </row>
    <row r="221" spans="1:17" x14ac:dyDescent="0.25">
      <c r="A221" t="s">
        <v>225</v>
      </c>
      <c r="B221" t="s">
        <v>906</v>
      </c>
      <c r="C221" s="1">
        <v>44983</v>
      </c>
      <c r="D221" s="1">
        <v>45028</v>
      </c>
      <c r="E221">
        <v>741.72</v>
      </c>
      <c r="F221" t="s">
        <v>915</v>
      </c>
      <c r="G221" t="s">
        <v>918</v>
      </c>
      <c r="H221" s="1">
        <v>45028</v>
      </c>
      <c r="I221" t="s">
        <v>919</v>
      </c>
      <c r="J221" t="b">
        <f t="shared" si="21"/>
        <v>0</v>
      </c>
      <c r="K221" s="3">
        <f t="shared" ca="1" si="22"/>
        <v>45</v>
      </c>
      <c r="L221" s="3">
        <f t="shared" ca="1" si="23"/>
        <v>0</v>
      </c>
      <c r="M221" t="str">
        <f t="shared" ca="1" si="24"/>
        <v>On Time</v>
      </c>
      <c r="N221">
        <f t="shared" si="26"/>
        <v>0</v>
      </c>
      <c r="O221" t="str" cm="1">
        <f t="array" aca="1" ref="O221" ca="1">_xlfn.IFS(
L221&lt;=0,"Not Due",
L221&lt;=30,"0–30 Days",
L221&lt;=60,"31–60 Days",
L221&lt;=90,"61–90 Days",
L221&lt;=180,"91–180 Days",
L221&lt;=365,"181–365 Days",
L221&gt;365,"365+ Days (High Risk)"
)</f>
        <v>Not Due</v>
      </c>
      <c r="P221">
        <f t="shared" si="27"/>
        <v>741.72</v>
      </c>
      <c r="Q221" s="3">
        <f t="shared" ca="1" si="25"/>
        <v>0</v>
      </c>
    </row>
    <row r="222" spans="1:17" x14ac:dyDescent="0.25">
      <c r="A222" t="s">
        <v>226</v>
      </c>
      <c r="B222" t="s">
        <v>906</v>
      </c>
      <c r="C222" s="1">
        <v>45308</v>
      </c>
      <c r="D222" s="1">
        <v>45353</v>
      </c>
      <c r="E222">
        <v>7943.83</v>
      </c>
      <c r="F222" t="s">
        <v>911</v>
      </c>
      <c r="G222" t="s">
        <v>917</v>
      </c>
      <c r="I222" t="s">
        <v>919</v>
      </c>
      <c r="J222" t="b">
        <f t="shared" si="21"/>
        <v>1</v>
      </c>
      <c r="K222" s="3">
        <f t="shared" ca="1" si="22"/>
        <v>743</v>
      </c>
      <c r="L222" s="3">
        <f t="shared" ca="1" si="23"/>
        <v>698</v>
      </c>
      <c r="M222" t="str">
        <f t="shared" ca="1" si="24"/>
        <v>Overdue</v>
      </c>
      <c r="N222">
        <f t="shared" si="26"/>
        <v>7943.83</v>
      </c>
      <c r="O222" t="str" cm="1">
        <f t="array" aca="1" ref="O222" ca="1">_xlfn.IFS(
L222&lt;=0,"Not Due",
L222&lt;=30,"0–30 Days",
L222&lt;=60,"31–60 Days",
L222&lt;=90,"61–90 Days",
L222&lt;=180,"91–180 Days",
L222&lt;=365,"181–365 Days",
L222&gt;365,"365+ Days (High Risk)"
)</f>
        <v>365+ Days (High Risk)</v>
      </c>
      <c r="P222">
        <f t="shared" si="27"/>
        <v>0</v>
      </c>
      <c r="Q222" s="3">
        <f t="shared" ca="1" si="25"/>
        <v>7943.83</v>
      </c>
    </row>
    <row r="223" spans="1:17" x14ac:dyDescent="0.25">
      <c r="A223" t="s">
        <v>227</v>
      </c>
      <c r="B223" t="s">
        <v>909</v>
      </c>
      <c r="C223" s="1">
        <v>45559</v>
      </c>
      <c r="D223" s="1">
        <v>45604</v>
      </c>
      <c r="E223">
        <v>247.4</v>
      </c>
      <c r="F223" t="s">
        <v>913</v>
      </c>
      <c r="G223" t="s">
        <v>916</v>
      </c>
      <c r="I223" t="s">
        <v>919</v>
      </c>
      <c r="J223" t="b">
        <f t="shared" si="21"/>
        <v>1</v>
      </c>
      <c r="K223" s="3">
        <f t="shared" ca="1" si="22"/>
        <v>492</v>
      </c>
      <c r="L223" s="3">
        <f t="shared" ca="1" si="23"/>
        <v>447</v>
      </c>
      <c r="M223" t="str">
        <f t="shared" ca="1" si="24"/>
        <v>Overdue</v>
      </c>
      <c r="N223">
        <f t="shared" si="26"/>
        <v>247.4</v>
      </c>
      <c r="O223" t="str" cm="1">
        <f t="array" aca="1" ref="O223" ca="1">_xlfn.IFS(
L223&lt;=0,"Not Due",
L223&lt;=30,"0–30 Days",
L223&lt;=60,"31–60 Days",
L223&lt;=90,"61–90 Days",
L223&lt;=180,"91–180 Days",
L223&lt;=365,"181–365 Days",
L223&gt;365,"365+ Days (High Risk)"
)</f>
        <v>365+ Days (High Risk)</v>
      </c>
      <c r="P223">
        <f t="shared" si="27"/>
        <v>0</v>
      </c>
      <c r="Q223" s="3">
        <f t="shared" ca="1" si="25"/>
        <v>247.4</v>
      </c>
    </row>
    <row r="224" spans="1:17" x14ac:dyDescent="0.25">
      <c r="A224" t="s">
        <v>228</v>
      </c>
      <c r="B224" t="s">
        <v>909</v>
      </c>
      <c r="C224" s="1">
        <v>45196</v>
      </c>
      <c r="D224" s="1">
        <v>45241</v>
      </c>
      <c r="E224">
        <v>1967.78</v>
      </c>
      <c r="F224" t="s">
        <v>912</v>
      </c>
      <c r="G224" t="s">
        <v>917</v>
      </c>
      <c r="I224" t="s">
        <v>919</v>
      </c>
      <c r="J224" t="b">
        <f t="shared" si="21"/>
        <v>1</v>
      </c>
      <c r="K224" s="3">
        <f t="shared" ca="1" si="22"/>
        <v>855</v>
      </c>
      <c r="L224" s="3">
        <f t="shared" ca="1" si="23"/>
        <v>810</v>
      </c>
      <c r="M224" t="str">
        <f t="shared" ca="1" si="24"/>
        <v>Overdue</v>
      </c>
      <c r="N224">
        <f t="shared" si="26"/>
        <v>1967.78</v>
      </c>
      <c r="O224" t="str" cm="1">
        <f t="array" aca="1" ref="O224" ca="1">_xlfn.IFS(
L224&lt;=0,"Not Due",
L224&lt;=30,"0–30 Days",
L224&lt;=60,"31–60 Days",
L224&lt;=90,"61–90 Days",
L224&lt;=180,"91–180 Days",
L224&lt;=365,"181–365 Days",
L224&gt;365,"365+ Days (High Risk)"
)</f>
        <v>365+ Days (High Risk)</v>
      </c>
      <c r="P224">
        <f t="shared" si="27"/>
        <v>0</v>
      </c>
      <c r="Q224" s="3">
        <f t="shared" ca="1" si="25"/>
        <v>1967.78</v>
      </c>
    </row>
    <row r="225" spans="1:17" x14ac:dyDescent="0.25">
      <c r="A225" t="s">
        <v>229</v>
      </c>
      <c r="B225" t="s">
        <v>906</v>
      </c>
      <c r="C225" s="1">
        <v>45178</v>
      </c>
      <c r="D225" s="1">
        <v>45223</v>
      </c>
      <c r="E225">
        <v>7603.86</v>
      </c>
      <c r="F225" t="s">
        <v>911</v>
      </c>
      <c r="G225" t="s">
        <v>916</v>
      </c>
      <c r="I225" t="s">
        <v>919</v>
      </c>
      <c r="J225" t="b">
        <f t="shared" si="21"/>
        <v>1</v>
      </c>
      <c r="K225" s="3">
        <f t="shared" ca="1" si="22"/>
        <v>873</v>
      </c>
      <c r="L225" s="3">
        <f t="shared" ca="1" si="23"/>
        <v>828</v>
      </c>
      <c r="M225" t="str">
        <f t="shared" ca="1" si="24"/>
        <v>Overdue</v>
      </c>
      <c r="N225">
        <f t="shared" si="26"/>
        <v>7603.86</v>
      </c>
      <c r="O225" t="str" cm="1">
        <f t="array" aca="1" ref="O225" ca="1">_xlfn.IFS(
L225&lt;=0,"Not Due",
L225&lt;=30,"0–30 Days",
L225&lt;=60,"31–60 Days",
L225&lt;=90,"61–90 Days",
L225&lt;=180,"91–180 Days",
L225&lt;=365,"181–365 Days",
L225&gt;365,"365+ Days (High Risk)"
)</f>
        <v>365+ Days (High Risk)</v>
      </c>
      <c r="P225">
        <f t="shared" si="27"/>
        <v>0</v>
      </c>
      <c r="Q225" s="3">
        <f t="shared" ca="1" si="25"/>
        <v>7603.86</v>
      </c>
    </row>
    <row r="226" spans="1:17" x14ac:dyDescent="0.25">
      <c r="A226" t="s">
        <v>230</v>
      </c>
      <c r="B226" t="s">
        <v>910</v>
      </c>
      <c r="C226" s="1">
        <v>45149</v>
      </c>
      <c r="D226" s="1">
        <v>45194</v>
      </c>
      <c r="E226">
        <v>7290.34</v>
      </c>
      <c r="F226" t="s">
        <v>915</v>
      </c>
      <c r="G226" t="s">
        <v>917</v>
      </c>
      <c r="I226" t="s">
        <v>919</v>
      </c>
      <c r="J226" t="b">
        <f t="shared" si="21"/>
        <v>1</v>
      </c>
      <c r="K226" s="3">
        <f t="shared" ca="1" si="22"/>
        <v>902</v>
      </c>
      <c r="L226" s="3">
        <f t="shared" ca="1" si="23"/>
        <v>857</v>
      </c>
      <c r="M226" t="str">
        <f t="shared" ca="1" si="24"/>
        <v>Overdue</v>
      </c>
      <c r="N226">
        <f t="shared" si="26"/>
        <v>7290.34</v>
      </c>
      <c r="O226" t="str" cm="1">
        <f t="array" aca="1" ref="O226" ca="1">_xlfn.IFS(
L226&lt;=0,"Not Due",
L226&lt;=30,"0–30 Days",
L226&lt;=60,"31–60 Days",
L226&lt;=90,"61–90 Days",
L226&lt;=180,"91–180 Days",
L226&lt;=365,"181–365 Days",
L226&gt;365,"365+ Days (High Risk)"
)</f>
        <v>365+ Days (High Risk)</v>
      </c>
      <c r="P226">
        <f t="shared" si="27"/>
        <v>0</v>
      </c>
      <c r="Q226" s="3">
        <f t="shared" ca="1" si="25"/>
        <v>7290.34</v>
      </c>
    </row>
    <row r="227" spans="1:17" x14ac:dyDescent="0.25">
      <c r="A227" t="s">
        <v>231</v>
      </c>
      <c r="B227" t="s">
        <v>909</v>
      </c>
      <c r="C227" s="1">
        <v>45477</v>
      </c>
      <c r="D227" s="1">
        <v>45522</v>
      </c>
      <c r="E227">
        <v>2291.87</v>
      </c>
      <c r="F227" t="s">
        <v>913</v>
      </c>
      <c r="G227" t="s">
        <v>917</v>
      </c>
      <c r="I227" t="s">
        <v>919</v>
      </c>
      <c r="J227" t="b">
        <f t="shared" si="21"/>
        <v>1</v>
      </c>
      <c r="K227" s="3">
        <f t="shared" ca="1" si="22"/>
        <v>574</v>
      </c>
      <c r="L227" s="3">
        <f t="shared" ca="1" si="23"/>
        <v>529</v>
      </c>
      <c r="M227" t="str">
        <f t="shared" ca="1" si="24"/>
        <v>Overdue</v>
      </c>
      <c r="N227">
        <f t="shared" si="26"/>
        <v>2291.87</v>
      </c>
      <c r="O227" t="str" cm="1">
        <f t="array" aca="1" ref="O227" ca="1">_xlfn.IFS(
L227&lt;=0,"Not Due",
L227&lt;=30,"0–30 Days",
L227&lt;=60,"31–60 Days",
L227&lt;=90,"61–90 Days",
L227&lt;=180,"91–180 Days",
L227&lt;=365,"181–365 Days",
L227&gt;365,"365+ Days (High Risk)"
)</f>
        <v>365+ Days (High Risk)</v>
      </c>
      <c r="P227">
        <f t="shared" si="27"/>
        <v>0</v>
      </c>
      <c r="Q227" s="3">
        <f t="shared" ca="1" si="25"/>
        <v>2291.87</v>
      </c>
    </row>
    <row r="228" spans="1:17" x14ac:dyDescent="0.25">
      <c r="A228" t="s">
        <v>232</v>
      </c>
      <c r="B228" t="s">
        <v>910</v>
      </c>
      <c r="C228" s="1">
        <v>45012</v>
      </c>
      <c r="D228" s="1">
        <v>45057</v>
      </c>
      <c r="E228">
        <v>2360.7199999999998</v>
      </c>
      <c r="F228" t="s">
        <v>912</v>
      </c>
      <c r="G228" t="s">
        <v>916</v>
      </c>
      <c r="I228" t="s">
        <v>919</v>
      </c>
      <c r="J228" t="b">
        <f t="shared" si="21"/>
        <v>1</v>
      </c>
      <c r="K228" s="3">
        <f t="shared" ca="1" si="22"/>
        <v>1039</v>
      </c>
      <c r="L228" s="3">
        <f t="shared" ca="1" si="23"/>
        <v>994</v>
      </c>
      <c r="M228" t="str">
        <f t="shared" ca="1" si="24"/>
        <v>Overdue</v>
      </c>
      <c r="N228">
        <f t="shared" si="26"/>
        <v>2360.7199999999998</v>
      </c>
      <c r="O228" t="str" cm="1">
        <f t="array" aca="1" ref="O228" ca="1">_xlfn.IFS(
L228&lt;=0,"Not Due",
L228&lt;=30,"0–30 Days",
L228&lt;=60,"31–60 Days",
L228&lt;=90,"61–90 Days",
L228&lt;=180,"91–180 Days",
L228&lt;=365,"181–365 Days",
L228&gt;365,"365+ Days (High Risk)"
)</f>
        <v>365+ Days (High Risk)</v>
      </c>
      <c r="P228">
        <f t="shared" si="27"/>
        <v>0</v>
      </c>
      <c r="Q228" s="3">
        <f t="shared" ca="1" si="25"/>
        <v>2360.7199999999998</v>
      </c>
    </row>
    <row r="229" spans="1:17" x14ac:dyDescent="0.25">
      <c r="A229" t="s">
        <v>233</v>
      </c>
      <c r="B229" t="s">
        <v>909</v>
      </c>
      <c r="C229" s="1">
        <v>45438</v>
      </c>
      <c r="D229" s="1">
        <v>45483</v>
      </c>
      <c r="E229">
        <v>673.24</v>
      </c>
      <c r="F229" t="s">
        <v>912</v>
      </c>
      <c r="G229" t="s">
        <v>917</v>
      </c>
      <c r="I229" t="s">
        <v>919</v>
      </c>
      <c r="J229" t="b">
        <f t="shared" si="21"/>
        <v>1</v>
      </c>
      <c r="K229" s="3">
        <f t="shared" ca="1" si="22"/>
        <v>613</v>
      </c>
      <c r="L229" s="3">
        <f t="shared" ca="1" si="23"/>
        <v>568</v>
      </c>
      <c r="M229" t="str">
        <f t="shared" ca="1" si="24"/>
        <v>Overdue</v>
      </c>
      <c r="N229">
        <f t="shared" si="26"/>
        <v>673.24</v>
      </c>
      <c r="O229" t="str" cm="1">
        <f t="array" aca="1" ref="O229" ca="1">_xlfn.IFS(
L229&lt;=0,"Not Due",
L229&lt;=30,"0–30 Days",
L229&lt;=60,"31–60 Days",
L229&lt;=90,"61–90 Days",
L229&lt;=180,"91–180 Days",
L229&lt;=365,"181–365 Days",
L229&gt;365,"365+ Days (High Risk)"
)</f>
        <v>365+ Days (High Risk)</v>
      </c>
      <c r="P229">
        <f t="shared" si="27"/>
        <v>0</v>
      </c>
      <c r="Q229" s="3">
        <f t="shared" ca="1" si="25"/>
        <v>673.24</v>
      </c>
    </row>
    <row r="230" spans="1:17" x14ac:dyDescent="0.25">
      <c r="A230" t="s">
        <v>234</v>
      </c>
      <c r="B230" t="s">
        <v>910</v>
      </c>
      <c r="C230" s="1">
        <v>45110</v>
      </c>
      <c r="D230" s="1">
        <v>45155</v>
      </c>
      <c r="E230">
        <v>4022.7</v>
      </c>
      <c r="F230" t="s">
        <v>912</v>
      </c>
      <c r="G230" t="s">
        <v>918</v>
      </c>
      <c r="H230" s="1">
        <v>45155</v>
      </c>
      <c r="I230" t="s">
        <v>919</v>
      </c>
      <c r="J230" t="b">
        <f t="shared" si="21"/>
        <v>0</v>
      </c>
      <c r="K230" s="3">
        <f t="shared" ca="1" si="22"/>
        <v>45</v>
      </c>
      <c r="L230" s="3">
        <f t="shared" ca="1" si="23"/>
        <v>0</v>
      </c>
      <c r="M230" t="str">
        <f t="shared" ca="1" si="24"/>
        <v>On Time</v>
      </c>
      <c r="N230">
        <f t="shared" si="26"/>
        <v>0</v>
      </c>
      <c r="O230" t="str" cm="1">
        <f t="array" aca="1" ref="O230" ca="1">_xlfn.IFS(
L230&lt;=0,"Not Due",
L230&lt;=30,"0–30 Days",
L230&lt;=60,"31–60 Days",
L230&lt;=90,"61–90 Days",
L230&lt;=180,"91–180 Days",
L230&lt;=365,"181–365 Days",
L230&gt;365,"365+ Days (High Risk)"
)</f>
        <v>Not Due</v>
      </c>
      <c r="P230">
        <f t="shared" si="27"/>
        <v>4022.7</v>
      </c>
      <c r="Q230" s="3">
        <f t="shared" ca="1" si="25"/>
        <v>0</v>
      </c>
    </row>
    <row r="231" spans="1:17" x14ac:dyDescent="0.25">
      <c r="A231" t="s">
        <v>235</v>
      </c>
      <c r="B231" t="s">
        <v>910</v>
      </c>
      <c r="C231" s="1">
        <v>45160</v>
      </c>
      <c r="D231" s="1">
        <v>45205</v>
      </c>
      <c r="E231">
        <v>1973.41</v>
      </c>
      <c r="F231" t="s">
        <v>914</v>
      </c>
      <c r="G231" t="s">
        <v>918</v>
      </c>
      <c r="H231" s="1">
        <v>45205</v>
      </c>
      <c r="I231" t="s">
        <v>919</v>
      </c>
      <c r="J231" t="b">
        <f t="shared" si="21"/>
        <v>0</v>
      </c>
      <c r="K231" s="3">
        <f t="shared" ca="1" si="22"/>
        <v>45</v>
      </c>
      <c r="L231" s="3">
        <f t="shared" ca="1" si="23"/>
        <v>0</v>
      </c>
      <c r="M231" t="str">
        <f t="shared" ca="1" si="24"/>
        <v>On Time</v>
      </c>
      <c r="N231">
        <f t="shared" si="26"/>
        <v>0</v>
      </c>
      <c r="O231" t="str" cm="1">
        <f t="array" aca="1" ref="O231" ca="1">_xlfn.IFS(
L231&lt;=0,"Not Due",
L231&lt;=30,"0–30 Days",
L231&lt;=60,"31–60 Days",
L231&lt;=90,"61–90 Days",
L231&lt;=180,"91–180 Days",
L231&lt;=365,"181–365 Days",
L231&gt;365,"365+ Days (High Risk)"
)</f>
        <v>Not Due</v>
      </c>
      <c r="P231">
        <f t="shared" si="27"/>
        <v>1973.41</v>
      </c>
      <c r="Q231" s="3">
        <f t="shared" ca="1" si="25"/>
        <v>0</v>
      </c>
    </row>
    <row r="232" spans="1:17" x14ac:dyDescent="0.25">
      <c r="A232" t="s">
        <v>236</v>
      </c>
      <c r="B232" t="s">
        <v>907</v>
      </c>
      <c r="C232" s="1">
        <v>44982</v>
      </c>
      <c r="D232" s="1">
        <v>45027</v>
      </c>
      <c r="E232">
        <v>3221.68</v>
      </c>
      <c r="F232" t="s">
        <v>914</v>
      </c>
      <c r="G232" t="s">
        <v>917</v>
      </c>
      <c r="I232" t="s">
        <v>919</v>
      </c>
      <c r="J232" t="b">
        <f t="shared" si="21"/>
        <v>1</v>
      </c>
      <c r="K232" s="3">
        <f t="shared" ca="1" si="22"/>
        <v>1069</v>
      </c>
      <c r="L232" s="3">
        <f t="shared" ca="1" si="23"/>
        <v>1024</v>
      </c>
      <c r="M232" t="str">
        <f t="shared" ca="1" si="24"/>
        <v>Overdue</v>
      </c>
      <c r="N232">
        <f t="shared" si="26"/>
        <v>3221.68</v>
      </c>
      <c r="O232" t="str" cm="1">
        <f t="array" aca="1" ref="O232" ca="1">_xlfn.IFS(
L232&lt;=0,"Not Due",
L232&lt;=30,"0–30 Days",
L232&lt;=60,"31–60 Days",
L232&lt;=90,"61–90 Days",
L232&lt;=180,"91–180 Days",
L232&lt;=365,"181–365 Days",
L232&gt;365,"365+ Days (High Risk)"
)</f>
        <v>365+ Days (High Risk)</v>
      </c>
      <c r="P232">
        <f t="shared" si="27"/>
        <v>0</v>
      </c>
      <c r="Q232" s="3">
        <f t="shared" ca="1" si="25"/>
        <v>3221.68</v>
      </c>
    </row>
    <row r="233" spans="1:17" x14ac:dyDescent="0.25">
      <c r="A233" t="s">
        <v>237</v>
      </c>
      <c r="B233" t="s">
        <v>908</v>
      </c>
      <c r="C233" s="1">
        <v>45246</v>
      </c>
      <c r="D233" s="1">
        <v>45291</v>
      </c>
      <c r="E233">
        <v>725.83</v>
      </c>
      <c r="F233" t="s">
        <v>912</v>
      </c>
      <c r="G233" t="s">
        <v>918</v>
      </c>
      <c r="H233" s="1">
        <v>45291</v>
      </c>
      <c r="I233" t="s">
        <v>919</v>
      </c>
      <c r="J233" t="b">
        <f t="shared" si="21"/>
        <v>0</v>
      </c>
      <c r="K233" s="3">
        <f t="shared" ca="1" si="22"/>
        <v>45</v>
      </c>
      <c r="L233" s="3">
        <f t="shared" ca="1" si="23"/>
        <v>0</v>
      </c>
      <c r="M233" t="str">
        <f t="shared" ca="1" si="24"/>
        <v>On Time</v>
      </c>
      <c r="N233">
        <f t="shared" si="26"/>
        <v>0</v>
      </c>
      <c r="O233" t="str" cm="1">
        <f t="array" aca="1" ref="O233" ca="1">_xlfn.IFS(
L233&lt;=0,"Not Due",
L233&lt;=30,"0–30 Days",
L233&lt;=60,"31–60 Days",
L233&lt;=90,"61–90 Days",
L233&lt;=180,"91–180 Days",
L233&lt;=365,"181–365 Days",
L233&gt;365,"365+ Days (High Risk)"
)</f>
        <v>Not Due</v>
      </c>
      <c r="P233">
        <f t="shared" si="27"/>
        <v>725.83</v>
      </c>
      <c r="Q233" s="3">
        <f t="shared" ca="1" si="25"/>
        <v>0</v>
      </c>
    </row>
    <row r="234" spans="1:17" x14ac:dyDescent="0.25">
      <c r="A234" t="s">
        <v>238</v>
      </c>
      <c r="B234" t="s">
        <v>907</v>
      </c>
      <c r="C234" s="1">
        <v>45516</v>
      </c>
      <c r="D234" s="1">
        <v>45561</v>
      </c>
      <c r="E234">
        <v>3034.61</v>
      </c>
      <c r="F234" t="s">
        <v>914</v>
      </c>
      <c r="G234" t="s">
        <v>918</v>
      </c>
      <c r="H234" s="1">
        <v>45561</v>
      </c>
      <c r="I234" t="s">
        <v>919</v>
      </c>
      <c r="J234" t="b">
        <f t="shared" si="21"/>
        <v>0</v>
      </c>
      <c r="K234" s="3">
        <f t="shared" ca="1" si="22"/>
        <v>45</v>
      </c>
      <c r="L234" s="3">
        <f t="shared" ca="1" si="23"/>
        <v>0</v>
      </c>
      <c r="M234" t="str">
        <f t="shared" ca="1" si="24"/>
        <v>On Time</v>
      </c>
      <c r="N234">
        <f t="shared" si="26"/>
        <v>0</v>
      </c>
      <c r="O234" t="str" cm="1">
        <f t="array" aca="1" ref="O234" ca="1">_xlfn.IFS(
L234&lt;=0,"Not Due",
L234&lt;=30,"0–30 Days",
L234&lt;=60,"31–60 Days",
L234&lt;=90,"61–90 Days",
L234&lt;=180,"91–180 Days",
L234&lt;=365,"181–365 Days",
L234&gt;365,"365+ Days (High Risk)"
)</f>
        <v>Not Due</v>
      </c>
      <c r="P234">
        <f t="shared" si="27"/>
        <v>3034.61</v>
      </c>
      <c r="Q234" s="3">
        <f t="shared" ca="1" si="25"/>
        <v>0</v>
      </c>
    </row>
    <row r="235" spans="1:17" x14ac:dyDescent="0.25">
      <c r="A235" t="s">
        <v>239</v>
      </c>
      <c r="B235" t="s">
        <v>906</v>
      </c>
      <c r="C235" s="1">
        <v>45274</v>
      </c>
      <c r="D235" s="1">
        <v>45319</v>
      </c>
      <c r="E235">
        <v>7652.36</v>
      </c>
      <c r="F235" t="s">
        <v>914</v>
      </c>
      <c r="G235" t="s">
        <v>918</v>
      </c>
      <c r="H235" s="1">
        <v>45319</v>
      </c>
      <c r="I235" t="s">
        <v>919</v>
      </c>
      <c r="J235" t="b">
        <f t="shared" si="21"/>
        <v>0</v>
      </c>
      <c r="K235" s="3">
        <f t="shared" ca="1" si="22"/>
        <v>45</v>
      </c>
      <c r="L235" s="3">
        <f t="shared" ca="1" si="23"/>
        <v>0</v>
      </c>
      <c r="M235" t="str">
        <f t="shared" ca="1" si="24"/>
        <v>On Time</v>
      </c>
      <c r="N235">
        <f t="shared" si="26"/>
        <v>0</v>
      </c>
      <c r="O235" t="str" cm="1">
        <f t="array" aca="1" ref="O235" ca="1">_xlfn.IFS(
L235&lt;=0,"Not Due",
L235&lt;=30,"0–30 Days",
L235&lt;=60,"31–60 Days",
L235&lt;=90,"61–90 Days",
L235&lt;=180,"91–180 Days",
L235&lt;=365,"181–365 Days",
L235&gt;365,"365+ Days (High Risk)"
)</f>
        <v>Not Due</v>
      </c>
      <c r="P235">
        <f t="shared" si="27"/>
        <v>7652.36</v>
      </c>
      <c r="Q235" s="3">
        <f t="shared" ca="1" si="25"/>
        <v>0</v>
      </c>
    </row>
    <row r="236" spans="1:17" x14ac:dyDescent="0.25">
      <c r="A236" t="s">
        <v>240</v>
      </c>
      <c r="B236" t="s">
        <v>909</v>
      </c>
      <c r="C236" s="1">
        <v>45797</v>
      </c>
      <c r="D236" s="1">
        <v>45842</v>
      </c>
      <c r="E236">
        <v>3317.09</v>
      </c>
      <c r="F236" t="s">
        <v>911</v>
      </c>
      <c r="G236" t="s">
        <v>917</v>
      </c>
      <c r="I236" t="s">
        <v>919</v>
      </c>
      <c r="J236" t="b">
        <f t="shared" si="21"/>
        <v>1</v>
      </c>
      <c r="K236" s="3">
        <f t="shared" ca="1" si="22"/>
        <v>254</v>
      </c>
      <c r="L236" s="3">
        <f t="shared" ca="1" si="23"/>
        <v>209</v>
      </c>
      <c r="M236" t="str">
        <f t="shared" ca="1" si="24"/>
        <v>Overdue</v>
      </c>
      <c r="N236">
        <f t="shared" si="26"/>
        <v>3317.09</v>
      </c>
      <c r="O236" t="str" cm="1">
        <f t="array" aca="1" ref="O236" ca="1">_xlfn.IFS(
L236&lt;=0,"Not Due",
L236&lt;=30,"0–30 Days",
L236&lt;=60,"31–60 Days",
L236&lt;=90,"61–90 Days",
L236&lt;=180,"91–180 Days",
L236&lt;=365,"181–365 Days",
L236&gt;365,"365+ Days (High Risk)"
)</f>
        <v>181–365 Days</v>
      </c>
      <c r="P236">
        <f t="shared" si="27"/>
        <v>0</v>
      </c>
      <c r="Q236" s="3">
        <f t="shared" ca="1" si="25"/>
        <v>3317.09</v>
      </c>
    </row>
    <row r="237" spans="1:17" x14ac:dyDescent="0.25">
      <c r="A237" t="s">
        <v>241</v>
      </c>
      <c r="B237" t="s">
        <v>907</v>
      </c>
      <c r="C237" s="1">
        <v>45013</v>
      </c>
      <c r="D237" s="1">
        <v>45058</v>
      </c>
      <c r="E237">
        <v>3325.12</v>
      </c>
      <c r="F237" t="s">
        <v>912</v>
      </c>
      <c r="G237" t="s">
        <v>917</v>
      </c>
      <c r="I237" t="s">
        <v>919</v>
      </c>
      <c r="J237" t="b">
        <f t="shared" si="21"/>
        <v>1</v>
      </c>
      <c r="K237" s="3">
        <f t="shared" ca="1" si="22"/>
        <v>1038</v>
      </c>
      <c r="L237" s="3">
        <f t="shared" ca="1" si="23"/>
        <v>993</v>
      </c>
      <c r="M237" t="str">
        <f t="shared" ca="1" si="24"/>
        <v>Overdue</v>
      </c>
      <c r="N237">
        <f t="shared" si="26"/>
        <v>3325.12</v>
      </c>
      <c r="O237" t="str" cm="1">
        <f t="array" aca="1" ref="O237" ca="1">_xlfn.IFS(
L237&lt;=0,"Not Due",
L237&lt;=30,"0–30 Days",
L237&lt;=60,"31–60 Days",
L237&lt;=90,"61–90 Days",
L237&lt;=180,"91–180 Days",
L237&lt;=365,"181–365 Days",
L237&gt;365,"365+ Days (High Risk)"
)</f>
        <v>365+ Days (High Risk)</v>
      </c>
      <c r="P237">
        <f t="shared" si="27"/>
        <v>0</v>
      </c>
      <c r="Q237" s="3">
        <f t="shared" ca="1" si="25"/>
        <v>3325.12</v>
      </c>
    </row>
    <row r="238" spans="1:17" x14ac:dyDescent="0.25">
      <c r="A238" t="s">
        <v>242</v>
      </c>
      <c r="B238" t="s">
        <v>909</v>
      </c>
      <c r="C238" s="1">
        <v>45707</v>
      </c>
      <c r="D238" s="1">
        <v>45752</v>
      </c>
      <c r="E238">
        <v>4585.18</v>
      </c>
      <c r="F238" t="s">
        <v>911</v>
      </c>
      <c r="G238" t="s">
        <v>916</v>
      </c>
      <c r="I238" t="s">
        <v>919</v>
      </c>
      <c r="J238" t="b">
        <f t="shared" si="21"/>
        <v>1</v>
      </c>
      <c r="K238" s="3">
        <f t="shared" ca="1" si="22"/>
        <v>344</v>
      </c>
      <c r="L238" s="3">
        <f t="shared" ca="1" si="23"/>
        <v>299</v>
      </c>
      <c r="M238" t="str">
        <f t="shared" ca="1" si="24"/>
        <v>Overdue</v>
      </c>
      <c r="N238">
        <f t="shared" si="26"/>
        <v>4585.18</v>
      </c>
      <c r="O238" t="str" cm="1">
        <f t="array" aca="1" ref="O238" ca="1">_xlfn.IFS(
L238&lt;=0,"Not Due",
L238&lt;=30,"0–30 Days",
L238&lt;=60,"31–60 Days",
L238&lt;=90,"61–90 Days",
L238&lt;=180,"91–180 Days",
L238&lt;=365,"181–365 Days",
L238&gt;365,"365+ Days (High Risk)"
)</f>
        <v>181–365 Days</v>
      </c>
      <c r="P238">
        <f t="shared" si="27"/>
        <v>0</v>
      </c>
      <c r="Q238" s="3">
        <f t="shared" ca="1" si="25"/>
        <v>4585.18</v>
      </c>
    </row>
    <row r="239" spans="1:17" x14ac:dyDescent="0.25">
      <c r="A239" t="s">
        <v>243</v>
      </c>
      <c r="B239" t="s">
        <v>906</v>
      </c>
      <c r="C239" s="1">
        <v>45227</v>
      </c>
      <c r="D239" s="1">
        <v>45272</v>
      </c>
      <c r="E239">
        <v>6323.5</v>
      </c>
      <c r="F239" t="s">
        <v>912</v>
      </c>
      <c r="G239" t="s">
        <v>918</v>
      </c>
      <c r="H239" s="1">
        <v>45272</v>
      </c>
      <c r="I239" t="s">
        <v>919</v>
      </c>
      <c r="J239" t="b">
        <f t="shared" si="21"/>
        <v>0</v>
      </c>
      <c r="K239" s="3">
        <f t="shared" ca="1" si="22"/>
        <v>45</v>
      </c>
      <c r="L239" s="3">
        <f t="shared" ca="1" si="23"/>
        <v>0</v>
      </c>
      <c r="M239" t="str">
        <f t="shared" ca="1" si="24"/>
        <v>On Time</v>
      </c>
      <c r="N239">
        <f t="shared" si="26"/>
        <v>0</v>
      </c>
      <c r="O239" t="str" cm="1">
        <f t="array" aca="1" ref="O239" ca="1">_xlfn.IFS(
L239&lt;=0,"Not Due",
L239&lt;=30,"0–30 Days",
L239&lt;=60,"31–60 Days",
L239&lt;=90,"61–90 Days",
L239&lt;=180,"91–180 Days",
L239&lt;=365,"181–365 Days",
L239&gt;365,"365+ Days (High Risk)"
)</f>
        <v>Not Due</v>
      </c>
      <c r="P239">
        <f t="shared" si="27"/>
        <v>6323.5</v>
      </c>
      <c r="Q239" s="3">
        <f t="shared" ca="1" si="25"/>
        <v>0</v>
      </c>
    </row>
    <row r="240" spans="1:17" x14ac:dyDescent="0.25">
      <c r="A240" t="s">
        <v>244</v>
      </c>
      <c r="B240" t="s">
        <v>908</v>
      </c>
      <c r="C240" s="1">
        <v>45089</v>
      </c>
      <c r="D240" s="1">
        <v>45134</v>
      </c>
      <c r="E240">
        <v>1165.07</v>
      </c>
      <c r="F240" t="s">
        <v>913</v>
      </c>
      <c r="G240" t="s">
        <v>916</v>
      </c>
      <c r="I240" t="s">
        <v>919</v>
      </c>
      <c r="J240" t="b">
        <f t="shared" si="21"/>
        <v>1</v>
      </c>
      <c r="K240" s="3">
        <f t="shared" ca="1" si="22"/>
        <v>962</v>
      </c>
      <c r="L240" s="3">
        <f t="shared" ca="1" si="23"/>
        <v>917</v>
      </c>
      <c r="M240" t="str">
        <f t="shared" ca="1" si="24"/>
        <v>Overdue</v>
      </c>
      <c r="N240">
        <f t="shared" si="26"/>
        <v>1165.07</v>
      </c>
      <c r="O240" t="str" cm="1">
        <f t="array" aca="1" ref="O240" ca="1">_xlfn.IFS(
L240&lt;=0,"Not Due",
L240&lt;=30,"0–30 Days",
L240&lt;=60,"31–60 Days",
L240&lt;=90,"61–90 Days",
L240&lt;=180,"91–180 Days",
L240&lt;=365,"181–365 Days",
L240&gt;365,"365+ Days (High Risk)"
)</f>
        <v>365+ Days (High Risk)</v>
      </c>
      <c r="P240">
        <f t="shared" si="27"/>
        <v>0</v>
      </c>
      <c r="Q240" s="3">
        <f t="shared" ca="1" si="25"/>
        <v>1165.07</v>
      </c>
    </row>
    <row r="241" spans="1:17" x14ac:dyDescent="0.25">
      <c r="A241" t="s">
        <v>245</v>
      </c>
      <c r="B241" t="s">
        <v>908</v>
      </c>
      <c r="C241" s="1">
        <v>45215</v>
      </c>
      <c r="D241" s="1">
        <v>45260</v>
      </c>
      <c r="E241">
        <v>3713.67</v>
      </c>
      <c r="F241" t="s">
        <v>914</v>
      </c>
      <c r="G241" t="s">
        <v>918</v>
      </c>
      <c r="H241" s="1">
        <v>45260</v>
      </c>
      <c r="I241" t="s">
        <v>919</v>
      </c>
      <c r="J241" t="b">
        <f t="shared" si="21"/>
        <v>0</v>
      </c>
      <c r="K241" s="3">
        <f t="shared" ca="1" si="22"/>
        <v>45</v>
      </c>
      <c r="L241" s="3">
        <f t="shared" ca="1" si="23"/>
        <v>0</v>
      </c>
      <c r="M241" t="str">
        <f t="shared" ca="1" si="24"/>
        <v>On Time</v>
      </c>
      <c r="N241">
        <f t="shared" si="26"/>
        <v>0</v>
      </c>
      <c r="O241" t="str" cm="1">
        <f t="array" aca="1" ref="O241" ca="1">_xlfn.IFS(
L241&lt;=0,"Not Due",
L241&lt;=30,"0–30 Days",
L241&lt;=60,"31–60 Days",
L241&lt;=90,"61–90 Days",
L241&lt;=180,"91–180 Days",
L241&lt;=365,"181–365 Days",
L241&gt;365,"365+ Days (High Risk)"
)</f>
        <v>Not Due</v>
      </c>
      <c r="P241">
        <f t="shared" si="27"/>
        <v>3713.67</v>
      </c>
      <c r="Q241" s="3">
        <f t="shared" ca="1" si="25"/>
        <v>0</v>
      </c>
    </row>
    <row r="242" spans="1:17" x14ac:dyDescent="0.25">
      <c r="A242" t="s">
        <v>246</v>
      </c>
      <c r="B242" t="s">
        <v>908</v>
      </c>
      <c r="C242" s="1">
        <v>45038</v>
      </c>
      <c r="D242" s="1">
        <v>45083</v>
      </c>
      <c r="E242">
        <v>1188.28</v>
      </c>
      <c r="F242" t="s">
        <v>912</v>
      </c>
      <c r="G242" t="s">
        <v>916</v>
      </c>
      <c r="I242" t="s">
        <v>919</v>
      </c>
      <c r="J242" t="b">
        <f t="shared" si="21"/>
        <v>1</v>
      </c>
      <c r="K242" s="3">
        <f t="shared" ca="1" si="22"/>
        <v>1013</v>
      </c>
      <c r="L242" s="3">
        <f t="shared" ca="1" si="23"/>
        <v>968</v>
      </c>
      <c r="M242" t="str">
        <f t="shared" ca="1" si="24"/>
        <v>Overdue</v>
      </c>
      <c r="N242">
        <f t="shared" si="26"/>
        <v>1188.28</v>
      </c>
      <c r="O242" t="str" cm="1">
        <f t="array" aca="1" ref="O242" ca="1">_xlfn.IFS(
L242&lt;=0,"Not Due",
L242&lt;=30,"0–30 Days",
L242&lt;=60,"31–60 Days",
L242&lt;=90,"61–90 Days",
L242&lt;=180,"91–180 Days",
L242&lt;=365,"181–365 Days",
L242&gt;365,"365+ Days (High Risk)"
)</f>
        <v>365+ Days (High Risk)</v>
      </c>
      <c r="P242">
        <f t="shared" si="27"/>
        <v>0</v>
      </c>
      <c r="Q242" s="3">
        <f t="shared" ca="1" si="25"/>
        <v>1188.28</v>
      </c>
    </row>
    <row r="243" spans="1:17" x14ac:dyDescent="0.25">
      <c r="A243" t="s">
        <v>247</v>
      </c>
      <c r="B243" t="s">
        <v>909</v>
      </c>
      <c r="C243" s="1">
        <v>45294</v>
      </c>
      <c r="D243" s="1">
        <v>45339</v>
      </c>
      <c r="E243">
        <v>4578.38</v>
      </c>
      <c r="F243" t="s">
        <v>915</v>
      </c>
      <c r="G243" t="s">
        <v>918</v>
      </c>
      <c r="H243" s="1">
        <v>45339</v>
      </c>
      <c r="I243" t="s">
        <v>919</v>
      </c>
      <c r="J243" t="b">
        <f t="shared" si="21"/>
        <v>0</v>
      </c>
      <c r="K243" s="3">
        <f t="shared" ca="1" si="22"/>
        <v>45</v>
      </c>
      <c r="L243" s="3">
        <f t="shared" ca="1" si="23"/>
        <v>0</v>
      </c>
      <c r="M243" t="str">
        <f t="shared" ca="1" si="24"/>
        <v>On Time</v>
      </c>
      <c r="N243">
        <f t="shared" si="26"/>
        <v>0</v>
      </c>
      <c r="O243" t="str" cm="1">
        <f t="array" aca="1" ref="O243" ca="1">_xlfn.IFS(
L243&lt;=0,"Not Due",
L243&lt;=30,"0–30 Days",
L243&lt;=60,"31–60 Days",
L243&lt;=90,"61–90 Days",
L243&lt;=180,"91–180 Days",
L243&lt;=365,"181–365 Days",
L243&gt;365,"365+ Days (High Risk)"
)</f>
        <v>Not Due</v>
      </c>
      <c r="P243">
        <f t="shared" si="27"/>
        <v>4578.38</v>
      </c>
      <c r="Q243" s="3">
        <f t="shared" ca="1" si="25"/>
        <v>0</v>
      </c>
    </row>
    <row r="244" spans="1:17" x14ac:dyDescent="0.25">
      <c r="A244" t="s">
        <v>248</v>
      </c>
      <c r="B244" t="s">
        <v>906</v>
      </c>
      <c r="C244" s="1">
        <v>45482</v>
      </c>
      <c r="D244" s="1">
        <v>45527</v>
      </c>
      <c r="E244">
        <v>7392.38</v>
      </c>
      <c r="F244" t="s">
        <v>911</v>
      </c>
      <c r="G244" t="s">
        <v>918</v>
      </c>
      <c r="H244" s="1">
        <v>45527</v>
      </c>
      <c r="I244" t="s">
        <v>919</v>
      </c>
      <c r="J244" t="b">
        <f t="shared" si="21"/>
        <v>0</v>
      </c>
      <c r="K244" s="3">
        <f t="shared" ca="1" si="22"/>
        <v>45</v>
      </c>
      <c r="L244" s="3">
        <f t="shared" ca="1" si="23"/>
        <v>0</v>
      </c>
      <c r="M244" t="str">
        <f t="shared" ca="1" si="24"/>
        <v>On Time</v>
      </c>
      <c r="N244">
        <f t="shared" si="26"/>
        <v>0</v>
      </c>
      <c r="O244" t="str" cm="1">
        <f t="array" aca="1" ref="O244" ca="1">_xlfn.IFS(
L244&lt;=0,"Not Due",
L244&lt;=30,"0–30 Days",
L244&lt;=60,"31–60 Days",
L244&lt;=90,"61–90 Days",
L244&lt;=180,"91–180 Days",
L244&lt;=365,"181–365 Days",
L244&gt;365,"365+ Days (High Risk)"
)</f>
        <v>Not Due</v>
      </c>
      <c r="P244">
        <f t="shared" si="27"/>
        <v>7392.38</v>
      </c>
      <c r="Q244" s="3">
        <f t="shared" ca="1" si="25"/>
        <v>0</v>
      </c>
    </row>
    <row r="245" spans="1:17" x14ac:dyDescent="0.25">
      <c r="A245" t="s">
        <v>249</v>
      </c>
      <c r="B245" t="s">
        <v>909</v>
      </c>
      <c r="C245" s="1">
        <v>45083</v>
      </c>
      <c r="D245" s="1">
        <v>45128</v>
      </c>
      <c r="E245">
        <v>7767.69</v>
      </c>
      <c r="F245" t="s">
        <v>911</v>
      </c>
      <c r="G245" t="s">
        <v>918</v>
      </c>
      <c r="H245" s="1">
        <v>45128</v>
      </c>
      <c r="I245" t="s">
        <v>919</v>
      </c>
      <c r="J245" t="b">
        <f t="shared" si="21"/>
        <v>0</v>
      </c>
      <c r="K245" s="3">
        <f t="shared" ca="1" si="22"/>
        <v>45</v>
      </c>
      <c r="L245" s="3">
        <f t="shared" ca="1" si="23"/>
        <v>0</v>
      </c>
      <c r="M245" t="str">
        <f t="shared" ca="1" si="24"/>
        <v>On Time</v>
      </c>
      <c r="N245">
        <f t="shared" si="26"/>
        <v>0</v>
      </c>
      <c r="O245" t="str" cm="1">
        <f t="array" aca="1" ref="O245" ca="1">_xlfn.IFS(
L245&lt;=0,"Not Due",
L245&lt;=30,"0–30 Days",
L245&lt;=60,"31–60 Days",
L245&lt;=90,"61–90 Days",
L245&lt;=180,"91–180 Days",
L245&lt;=365,"181–365 Days",
L245&gt;365,"365+ Days (High Risk)"
)</f>
        <v>Not Due</v>
      </c>
      <c r="P245">
        <f t="shared" si="27"/>
        <v>7767.69</v>
      </c>
      <c r="Q245" s="3">
        <f t="shared" ca="1" si="25"/>
        <v>0</v>
      </c>
    </row>
    <row r="246" spans="1:17" x14ac:dyDescent="0.25">
      <c r="A246" t="s">
        <v>250</v>
      </c>
      <c r="B246" t="s">
        <v>910</v>
      </c>
      <c r="C246" s="1">
        <v>45701</v>
      </c>
      <c r="D246" s="1">
        <v>45746</v>
      </c>
      <c r="E246">
        <v>534.33000000000004</v>
      </c>
      <c r="F246" t="s">
        <v>913</v>
      </c>
      <c r="G246" t="s">
        <v>916</v>
      </c>
      <c r="I246" t="s">
        <v>919</v>
      </c>
      <c r="J246" t="b">
        <f t="shared" si="21"/>
        <v>1</v>
      </c>
      <c r="K246" s="3">
        <f t="shared" ca="1" si="22"/>
        <v>350</v>
      </c>
      <c r="L246" s="3">
        <f t="shared" ca="1" si="23"/>
        <v>305</v>
      </c>
      <c r="M246" t="str">
        <f t="shared" ca="1" si="24"/>
        <v>Overdue</v>
      </c>
      <c r="N246">
        <f t="shared" si="26"/>
        <v>534.33000000000004</v>
      </c>
      <c r="O246" t="str" cm="1">
        <f t="array" aca="1" ref="O246" ca="1">_xlfn.IFS(
L246&lt;=0,"Not Due",
L246&lt;=30,"0–30 Days",
L246&lt;=60,"31–60 Days",
L246&lt;=90,"61–90 Days",
L246&lt;=180,"91–180 Days",
L246&lt;=365,"181–365 Days",
L246&gt;365,"365+ Days (High Risk)"
)</f>
        <v>181–365 Days</v>
      </c>
      <c r="P246">
        <f t="shared" si="27"/>
        <v>0</v>
      </c>
      <c r="Q246" s="3">
        <f t="shared" ca="1" si="25"/>
        <v>534.33000000000004</v>
      </c>
    </row>
    <row r="247" spans="1:17" x14ac:dyDescent="0.25">
      <c r="A247" t="s">
        <v>251</v>
      </c>
      <c r="B247" t="s">
        <v>906</v>
      </c>
      <c r="C247" s="1">
        <v>45477</v>
      </c>
      <c r="D247" s="1">
        <v>45522</v>
      </c>
      <c r="E247">
        <v>575.11</v>
      </c>
      <c r="F247" t="s">
        <v>911</v>
      </c>
      <c r="G247" t="s">
        <v>917</v>
      </c>
      <c r="I247" t="s">
        <v>919</v>
      </c>
      <c r="J247" t="b">
        <f t="shared" si="21"/>
        <v>1</v>
      </c>
      <c r="K247" s="3">
        <f t="shared" ca="1" si="22"/>
        <v>574</v>
      </c>
      <c r="L247" s="3">
        <f t="shared" ca="1" si="23"/>
        <v>529</v>
      </c>
      <c r="M247" t="str">
        <f t="shared" ca="1" si="24"/>
        <v>Overdue</v>
      </c>
      <c r="N247">
        <f t="shared" si="26"/>
        <v>575.11</v>
      </c>
      <c r="O247" t="str" cm="1">
        <f t="array" aca="1" ref="O247" ca="1">_xlfn.IFS(
L247&lt;=0,"Not Due",
L247&lt;=30,"0–30 Days",
L247&lt;=60,"31–60 Days",
L247&lt;=90,"61–90 Days",
L247&lt;=180,"91–180 Days",
L247&lt;=365,"181–365 Days",
L247&gt;365,"365+ Days (High Risk)"
)</f>
        <v>365+ Days (High Risk)</v>
      </c>
      <c r="P247">
        <f t="shared" si="27"/>
        <v>0</v>
      </c>
      <c r="Q247" s="3">
        <f t="shared" ca="1" si="25"/>
        <v>575.11</v>
      </c>
    </row>
    <row r="248" spans="1:17" x14ac:dyDescent="0.25">
      <c r="A248" t="s">
        <v>252</v>
      </c>
      <c r="B248" t="s">
        <v>910</v>
      </c>
      <c r="C248" s="1">
        <v>45047</v>
      </c>
      <c r="D248" s="1">
        <v>45092</v>
      </c>
      <c r="E248">
        <v>7672.85</v>
      </c>
      <c r="F248" t="s">
        <v>913</v>
      </c>
      <c r="G248" t="s">
        <v>916</v>
      </c>
      <c r="I248" t="s">
        <v>919</v>
      </c>
      <c r="J248" t="b">
        <f t="shared" si="21"/>
        <v>1</v>
      </c>
      <c r="K248" s="3">
        <f t="shared" ca="1" si="22"/>
        <v>1004</v>
      </c>
      <c r="L248" s="3">
        <f t="shared" ca="1" si="23"/>
        <v>959</v>
      </c>
      <c r="M248" t="str">
        <f t="shared" ca="1" si="24"/>
        <v>Overdue</v>
      </c>
      <c r="N248">
        <f t="shared" si="26"/>
        <v>7672.85</v>
      </c>
      <c r="O248" t="str" cm="1">
        <f t="array" aca="1" ref="O248" ca="1">_xlfn.IFS(
L248&lt;=0,"Not Due",
L248&lt;=30,"0–30 Days",
L248&lt;=60,"31–60 Days",
L248&lt;=90,"61–90 Days",
L248&lt;=180,"91–180 Days",
L248&lt;=365,"181–365 Days",
L248&gt;365,"365+ Days (High Risk)"
)</f>
        <v>365+ Days (High Risk)</v>
      </c>
      <c r="P248">
        <f t="shared" si="27"/>
        <v>0</v>
      </c>
      <c r="Q248" s="3">
        <f t="shared" ca="1" si="25"/>
        <v>7672.85</v>
      </c>
    </row>
    <row r="249" spans="1:17" x14ac:dyDescent="0.25">
      <c r="A249" t="s">
        <v>253</v>
      </c>
      <c r="B249" t="s">
        <v>908</v>
      </c>
      <c r="C249" s="1">
        <v>45346</v>
      </c>
      <c r="D249" s="1">
        <v>45391</v>
      </c>
      <c r="E249">
        <v>4254.22</v>
      </c>
      <c r="F249" t="s">
        <v>915</v>
      </c>
      <c r="G249" t="s">
        <v>916</v>
      </c>
      <c r="I249" t="s">
        <v>919</v>
      </c>
      <c r="J249" t="b">
        <f t="shared" si="21"/>
        <v>1</v>
      </c>
      <c r="K249" s="3">
        <f t="shared" ca="1" si="22"/>
        <v>705</v>
      </c>
      <c r="L249" s="3">
        <f t="shared" ca="1" si="23"/>
        <v>660</v>
      </c>
      <c r="M249" t="str">
        <f t="shared" ca="1" si="24"/>
        <v>Overdue</v>
      </c>
      <c r="N249">
        <f t="shared" si="26"/>
        <v>4254.22</v>
      </c>
      <c r="O249" t="str" cm="1">
        <f t="array" aca="1" ref="O249" ca="1">_xlfn.IFS(
L249&lt;=0,"Not Due",
L249&lt;=30,"0–30 Days",
L249&lt;=60,"31–60 Days",
L249&lt;=90,"61–90 Days",
L249&lt;=180,"91–180 Days",
L249&lt;=365,"181–365 Days",
L249&gt;365,"365+ Days (High Risk)"
)</f>
        <v>365+ Days (High Risk)</v>
      </c>
      <c r="P249">
        <f t="shared" si="27"/>
        <v>0</v>
      </c>
      <c r="Q249" s="3">
        <f t="shared" ca="1" si="25"/>
        <v>4254.22</v>
      </c>
    </row>
    <row r="250" spans="1:17" x14ac:dyDescent="0.25">
      <c r="A250" t="s">
        <v>254</v>
      </c>
      <c r="B250" t="s">
        <v>910</v>
      </c>
      <c r="C250" s="1">
        <v>45605</v>
      </c>
      <c r="D250" s="1">
        <v>45650</v>
      </c>
      <c r="E250">
        <v>2760</v>
      </c>
      <c r="F250" t="s">
        <v>911</v>
      </c>
      <c r="G250" t="s">
        <v>918</v>
      </c>
      <c r="H250" s="1">
        <v>45650</v>
      </c>
      <c r="I250" t="s">
        <v>919</v>
      </c>
      <c r="J250" t="b">
        <f t="shared" si="21"/>
        <v>0</v>
      </c>
      <c r="K250" s="3">
        <f t="shared" ca="1" si="22"/>
        <v>45</v>
      </c>
      <c r="L250" s="3">
        <f t="shared" ca="1" si="23"/>
        <v>0</v>
      </c>
      <c r="M250" t="str">
        <f t="shared" ca="1" si="24"/>
        <v>On Time</v>
      </c>
      <c r="N250">
        <f t="shared" si="26"/>
        <v>0</v>
      </c>
      <c r="O250" t="str" cm="1">
        <f t="array" aca="1" ref="O250" ca="1">_xlfn.IFS(
L250&lt;=0,"Not Due",
L250&lt;=30,"0–30 Days",
L250&lt;=60,"31–60 Days",
L250&lt;=90,"61–90 Days",
L250&lt;=180,"91–180 Days",
L250&lt;=365,"181–365 Days",
L250&gt;365,"365+ Days (High Risk)"
)</f>
        <v>Not Due</v>
      </c>
      <c r="P250">
        <f t="shared" si="27"/>
        <v>2760</v>
      </c>
      <c r="Q250" s="3">
        <f t="shared" ca="1" si="25"/>
        <v>0</v>
      </c>
    </row>
    <row r="251" spans="1:17" x14ac:dyDescent="0.25">
      <c r="A251" t="s">
        <v>255</v>
      </c>
      <c r="B251" t="s">
        <v>909</v>
      </c>
      <c r="C251" s="1">
        <v>45341</v>
      </c>
      <c r="D251" s="1">
        <v>45386</v>
      </c>
      <c r="E251">
        <v>2757.32</v>
      </c>
      <c r="F251" t="s">
        <v>915</v>
      </c>
      <c r="G251" t="s">
        <v>917</v>
      </c>
      <c r="I251" t="s">
        <v>919</v>
      </c>
      <c r="J251" t="b">
        <f t="shared" si="21"/>
        <v>1</v>
      </c>
      <c r="K251" s="3">
        <f t="shared" ca="1" si="22"/>
        <v>710</v>
      </c>
      <c r="L251" s="3">
        <f t="shared" ca="1" si="23"/>
        <v>665</v>
      </c>
      <c r="M251" t="str">
        <f t="shared" ca="1" si="24"/>
        <v>Overdue</v>
      </c>
      <c r="N251">
        <f t="shared" si="26"/>
        <v>2757.32</v>
      </c>
      <c r="O251" t="str" cm="1">
        <f t="array" aca="1" ref="O251" ca="1">_xlfn.IFS(
L251&lt;=0,"Not Due",
L251&lt;=30,"0–30 Days",
L251&lt;=60,"31–60 Days",
L251&lt;=90,"61–90 Days",
L251&lt;=180,"91–180 Days",
L251&lt;=365,"181–365 Days",
L251&gt;365,"365+ Days (High Risk)"
)</f>
        <v>365+ Days (High Risk)</v>
      </c>
      <c r="P251">
        <f t="shared" si="27"/>
        <v>0</v>
      </c>
      <c r="Q251" s="3">
        <f t="shared" ca="1" si="25"/>
        <v>2757.32</v>
      </c>
    </row>
    <row r="252" spans="1:17" x14ac:dyDescent="0.25">
      <c r="A252" t="s">
        <v>256</v>
      </c>
      <c r="B252" t="s">
        <v>907</v>
      </c>
      <c r="C252" s="1">
        <v>45419</v>
      </c>
      <c r="D252" s="1">
        <v>45464</v>
      </c>
      <c r="E252">
        <v>5389.32</v>
      </c>
      <c r="F252" t="s">
        <v>911</v>
      </c>
      <c r="G252" t="s">
        <v>917</v>
      </c>
      <c r="I252" t="s">
        <v>919</v>
      </c>
      <c r="J252" t="b">
        <f t="shared" si="21"/>
        <v>1</v>
      </c>
      <c r="K252" s="3">
        <f t="shared" ca="1" si="22"/>
        <v>632</v>
      </c>
      <c r="L252" s="3">
        <f t="shared" ca="1" si="23"/>
        <v>587</v>
      </c>
      <c r="M252" t="str">
        <f t="shared" ca="1" si="24"/>
        <v>Overdue</v>
      </c>
      <c r="N252">
        <f t="shared" si="26"/>
        <v>5389.32</v>
      </c>
      <c r="O252" t="str" cm="1">
        <f t="array" aca="1" ref="O252" ca="1">_xlfn.IFS(
L252&lt;=0,"Not Due",
L252&lt;=30,"0–30 Days",
L252&lt;=60,"31–60 Days",
L252&lt;=90,"61–90 Days",
L252&lt;=180,"91–180 Days",
L252&lt;=365,"181–365 Days",
L252&gt;365,"365+ Days (High Risk)"
)</f>
        <v>365+ Days (High Risk)</v>
      </c>
      <c r="P252">
        <f t="shared" si="27"/>
        <v>0</v>
      </c>
      <c r="Q252" s="3">
        <f t="shared" ca="1" si="25"/>
        <v>5389.32</v>
      </c>
    </row>
    <row r="253" spans="1:17" x14ac:dyDescent="0.25">
      <c r="A253" t="s">
        <v>257</v>
      </c>
      <c r="B253" t="s">
        <v>909</v>
      </c>
      <c r="C253" s="1">
        <v>45310</v>
      </c>
      <c r="D253" s="1">
        <v>45355</v>
      </c>
      <c r="E253">
        <v>7153.34</v>
      </c>
      <c r="F253" t="s">
        <v>912</v>
      </c>
      <c r="G253" t="s">
        <v>917</v>
      </c>
      <c r="I253" t="s">
        <v>919</v>
      </c>
      <c r="J253" t="b">
        <f t="shared" si="21"/>
        <v>1</v>
      </c>
      <c r="K253" s="3">
        <f t="shared" ca="1" si="22"/>
        <v>741</v>
      </c>
      <c r="L253" s="3">
        <f t="shared" ca="1" si="23"/>
        <v>696</v>
      </c>
      <c r="M253" t="str">
        <f t="shared" ca="1" si="24"/>
        <v>Overdue</v>
      </c>
      <c r="N253">
        <f t="shared" si="26"/>
        <v>7153.34</v>
      </c>
      <c r="O253" t="str" cm="1">
        <f t="array" aca="1" ref="O253" ca="1">_xlfn.IFS(
L253&lt;=0,"Not Due",
L253&lt;=30,"0–30 Days",
L253&lt;=60,"31–60 Days",
L253&lt;=90,"61–90 Days",
L253&lt;=180,"91–180 Days",
L253&lt;=365,"181–365 Days",
L253&gt;365,"365+ Days (High Risk)"
)</f>
        <v>365+ Days (High Risk)</v>
      </c>
      <c r="P253">
        <f t="shared" si="27"/>
        <v>0</v>
      </c>
      <c r="Q253" s="3">
        <f t="shared" ca="1" si="25"/>
        <v>7153.34</v>
      </c>
    </row>
    <row r="254" spans="1:17" x14ac:dyDescent="0.25">
      <c r="A254" t="s">
        <v>258</v>
      </c>
      <c r="B254" t="s">
        <v>908</v>
      </c>
      <c r="C254" s="1">
        <v>45342</v>
      </c>
      <c r="D254" s="1">
        <v>45387</v>
      </c>
      <c r="E254">
        <v>2565.52</v>
      </c>
      <c r="F254" t="s">
        <v>911</v>
      </c>
      <c r="G254" t="s">
        <v>918</v>
      </c>
      <c r="H254" s="1">
        <v>45387</v>
      </c>
      <c r="I254" t="s">
        <v>919</v>
      </c>
      <c r="J254" t="b">
        <f t="shared" si="21"/>
        <v>0</v>
      </c>
      <c r="K254" s="3">
        <f t="shared" ca="1" si="22"/>
        <v>45</v>
      </c>
      <c r="L254" s="3">
        <f t="shared" ca="1" si="23"/>
        <v>0</v>
      </c>
      <c r="M254" t="str">
        <f t="shared" ca="1" si="24"/>
        <v>On Time</v>
      </c>
      <c r="N254">
        <f t="shared" si="26"/>
        <v>0</v>
      </c>
      <c r="O254" t="str" cm="1">
        <f t="array" aca="1" ref="O254" ca="1">_xlfn.IFS(
L254&lt;=0,"Not Due",
L254&lt;=30,"0–30 Days",
L254&lt;=60,"31–60 Days",
L254&lt;=90,"61–90 Days",
L254&lt;=180,"91–180 Days",
L254&lt;=365,"181–365 Days",
L254&gt;365,"365+ Days (High Risk)"
)</f>
        <v>Not Due</v>
      </c>
      <c r="P254">
        <f t="shared" si="27"/>
        <v>2565.52</v>
      </c>
      <c r="Q254" s="3">
        <f t="shared" ca="1" si="25"/>
        <v>0</v>
      </c>
    </row>
    <row r="255" spans="1:17" x14ac:dyDescent="0.25">
      <c r="A255" t="s">
        <v>259</v>
      </c>
      <c r="B255" t="s">
        <v>908</v>
      </c>
      <c r="C255" s="1">
        <v>45324</v>
      </c>
      <c r="D255" s="1">
        <v>45369</v>
      </c>
      <c r="E255">
        <v>4484.3999999999996</v>
      </c>
      <c r="F255" t="s">
        <v>912</v>
      </c>
      <c r="G255" t="s">
        <v>917</v>
      </c>
      <c r="I255" t="s">
        <v>919</v>
      </c>
      <c r="J255" t="b">
        <f t="shared" si="21"/>
        <v>1</v>
      </c>
      <c r="K255" s="3">
        <f t="shared" ca="1" si="22"/>
        <v>727</v>
      </c>
      <c r="L255" s="3">
        <f t="shared" ca="1" si="23"/>
        <v>682</v>
      </c>
      <c r="M255" t="str">
        <f t="shared" ca="1" si="24"/>
        <v>Overdue</v>
      </c>
      <c r="N255">
        <f t="shared" si="26"/>
        <v>4484.3999999999996</v>
      </c>
      <c r="O255" t="str" cm="1">
        <f t="array" aca="1" ref="O255" ca="1">_xlfn.IFS(
L255&lt;=0,"Not Due",
L255&lt;=30,"0–30 Days",
L255&lt;=60,"31–60 Days",
L255&lt;=90,"61–90 Days",
L255&lt;=180,"91–180 Days",
L255&lt;=365,"181–365 Days",
L255&gt;365,"365+ Days (High Risk)"
)</f>
        <v>365+ Days (High Risk)</v>
      </c>
      <c r="P255">
        <f t="shared" si="27"/>
        <v>0</v>
      </c>
      <c r="Q255" s="3">
        <f t="shared" ca="1" si="25"/>
        <v>4484.3999999999996</v>
      </c>
    </row>
    <row r="256" spans="1:17" x14ac:dyDescent="0.25">
      <c r="A256" t="s">
        <v>260</v>
      </c>
      <c r="B256" t="s">
        <v>907</v>
      </c>
      <c r="C256" s="1">
        <v>45721</v>
      </c>
      <c r="D256" s="1">
        <v>45766</v>
      </c>
      <c r="E256">
        <v>2276.46</v>
      </c>
      <c r="F256" t="s">
        <v>911</v>
      </c>
      <c r="G256" t="s">
        <v>917</v>
      </c>
      <c r="I256" t="s">
        <v>919</v>
      </c>
      <c r="J256" t="b">
        <f t="shared" si="21"/>
        <v>1</v>
      </c>
      <c r="K256" s="3">
        <f t="shared" ca="1" si="22"/>
        <v>330</v>
      </c>
      <c r="L256" s="3">
        <f t="shared" ca="1" si="23"/>
        <v>285</v>
      </c>
      <c r="M256" t="str">
        <f t="shared" ca="1" si="24"/>
        <v>Overdue</v>
      </c>
      <c r="N256">
        <f t="shared" si="26"/>
        <v>2276.46</v>
      </c>
      <c r="O256" t="str" cm="1">
        <f t="array" aca="1" ref="O256" ca="1">_xlfn.IFS(
L256&lt;=0,"Not Due",
L256&lt;=30,"0–30 Days",
L256&lt;=60,"31–60 Days",
L256&lt;=90,"61–90 Days",
L256&lt;=180,"91–180 Days",
L256&lt;=365,"181–365 Days",
L256&gt;365,"365+ Days (High Risk)"
)</f>
        <v>181–365 Days</v>
      </c>
      <c r="P256">
        <f t="shared" si="27"/>
        <v>0</v>
      </c>
      <c r="Q256" s="3">
        <f t="shared" ca="1" si="25"/>
        <v>2276.46</v>
      </c>
    </row>
    <row r="257" spans="1:17" x14ac:dyDescent="0.25">
      <c r="A257" t="s">
        <v>261</v>
      </c>
      <c r="B257" t="s">
        <v>907</v>
      </c>
      <c r="C257" s="1">
        <v>45192</v>
      </c>
      <c r="D257" s="1">
        <v>45237</v>
      </c>
      <c r="E257">
        <v>3306.6</v>
      </c>
      <c r="F257" t="s">
        <v>911</v>
      </c>
      <c r="G257" t="s">
        <v>916</v>
      </c>
      <c r="I257" t="s">
        <v>919</v>
      </c>
      <c r="J257" t="b">
        <f t="shared" si="21"/>
        <v>1</v>
      </c>
      <c r="K257" s="3">
        <f t="shared" ca="1" si="22"/>
        <v>859</v>
      </c>
      <c r="L257" s="3">
        <f t="shared" ca="1" si="23"/>
        <v>814</v>
      </c>
      <c r="M257" t="str">
        <f t="shared" ca="1" si="24"/>
        <v>Overdue</v>
      </c>
      <c r="N257">
        <f t="shared" si="26"/>
        <v>3306.6</v>
      </c>
      <c r="O257" t="str" cm="1">
        <f t="array" aca="1" ref="O257" ca="1">_xlfn.IFS(
L257&lt;=0,"Not Due",
L257&lt;=30,"0–30 Days",
L257&lt;=60,"31–60 Days",
L257&lt;=90,"61–90 Days",
L257&lt;=180,"91–180 Days",
L257&lt;=365,"181–365 Days",
L257&gt;365,"365+ Days (High Risk)"
)</f>
        <v>365+ Days (High Risk)</v>
      </c>
      <c r="P257">
        <f t="shared" si="27"/>
        <v>0</v>
      </c>
      <c r="Q257" s="3">
        <f t="shared" ca="1" si="25"/>
        <v>3306.6</v>
      </c>
    </row>
    <row r="258" spans="1:17" x14ac:dyDescent="0.25">
      <c r="A258" t="s">
        <v>262</v>
      </c>
      <c r="B258" t="s">
        <v>909</v>
      </c>
      <c r="C258" s="1">
        <v>45251</v>
      </c>
      <c r="D258" s="1">
        <v>45296</v>
      </c>
      <c r="E258">
        <v>4927.67</v>
      </c>
      <c r="F258" t="s">
        <v>914</v>
      </c>
      <c r="G258" t="s">
        <v>917</v>
      </c>
      <c r="I258" t="s">
        <v>919</v>
      </c>
      <c r="J258" t="b">
        <f t="shared" ref="J258:J321" si="28">ISBLANK(H258)</f>
        <v>1</v>
      </c>
      <c r="K258" s="3">
        <f t="shared" ref="K258:K321" ca="1" si="29">IF(G258="Received",
IF(H258="",TODAY()-C258,H258-C258),
TODAY()-C258)</f>
        <v>800</v>
      </c>
      <c r="L258" s="3">
        <f t="shared" ref="L258:L321" ca="1" si="30">IF(N258=0,0,TODAY()-D258)</f>
        <v>755</v>
      </c>
      <c r="M258" t="str">
        <f t="shared" ref="M258:M321" ca="1" si="31">IF(L258&gt;0,"Overdue","On Time")</f>
        <v>Overdue</v>
      </c>
      <c r="N258">
        <f t="shared" si="26"/>
        <v>4927.67</v>
      </c>
      <c r="O258" t="str" cm="1">
        <f t="array" aca="1" ref="O258" ca="1">_xlfn.IFS(
L258&lt;=0,"Not Due",
L258&lt;=30,"0–30 Days",
L258&lt;=60,"31–60 Days",
L258&lt;=90,"61–90 Days",
L258&lt;=180,"91–180 Days",
L258&lt;=365,"181–365 Days",
L258&gt;365,"365+ Days (High Risk)"
)</f>
        <v>365+ Days (High Risk)</v>
      </c>
      <c r="P258">
        <f t="shared" si="27"/>
        <v>0</v>
      </c>
      <c r="Q258" s="3">
        <f t="shared" ref="Q258:Q321" ca="1" si="32">IF(L258&gt;0, N258, 0)</f>
        <v>4927.67</v>
      </c>
    </row>
    <row r="259" spans="1:17" x14ac:dyDescent="0.25">
      <c r="A259" t="s">
        <v>263</v>
      </c>
      <c r="B259" t="s">
        <v>909</v>
      </c>
      <c r="C259" s="1">
        <v>45445</v>
      </c>
      <c r="D259" s="1">
        <v>45490</v>
      </c>
      <c r="E259">
        <v>3912.57</v>
      </c>
      <c r="F259" t="s">
        <v>915</v>
      </c>
      <c r="G259" t="s">
        <v>916</v>
      </c>
      <c r="I259" t="s">
        <v>919</v>
      </c>
      <c r="J259" t="b">
        <f t="shared" si="28"/>
        <v>1</v>
      </c>
      <c r="K259" s="3">
        <f t="shared" ca="1" si="29"/>
        <v>606</v>
      </c>
      <c r="L259" s="3">
        <f t="shared" ca="1" si="30"/>
        <v>561</v>
      </c>
      <c r="M259" t="str">
        <f t="shared" ca="1" si="31"/>
        <v>Overdue</v>
      </c>
      <c r="N259">
        <f t="shared" ref="N259:N322" si="33">IF(G259="Received",0,E259)</f>
        <v>3912.57</v>
      </c>
      <c r="O259" t="str" cm="1">
        <f t="array" aca="1" ref="O259" ca="1">_xlfn.IFS(
L259&lt;=0,"Not Due",
L259&lt;=30,"0–30 Days",
L259&lt;=60,"31–60 Days",
L259&lt;=90,"61–90 Days",
L259&lt;=180,"91–180 Days",
L259&lt;=365,"181–365 Days",
L259&gt;365,"365+ Days (High Risk)"
)</f>
        <v>365+ Days (High Risk)</v>
      </c>
      <c r="P259">
        <f t="shared" ref="P259:P322" si="34">E259-N259</f>
        <v>0</v>
      </c>
      <c r="Q259" s="3">
        <f t="shared" ca="1" si="32"/>
        <v>3912.57</v>
      </c>
    </row>
    <row r="260" spans="1:17" x14ac:dyDescent="0.25">
      <c r="A260" t="s">
        <v>264</v>
      </c>
      <c r="B260" t="s">
        <v>909</v>
      </c>
      <c r="C260" s="1">
        <v>45815</v>
      </c>
      <c r="D260" s="1">
        <v>45860</v>
      </c>
      <c r="E260">
        <v>886.79</v>
      </c>
      <c r="F260" t="s">
        <v>911</v>
      </c>
      <c r="G260" t="s">
        <v>918</v>
      </c>
      <c r="H260" s="1">
        <v>45860</v>
      </c>
      <c r="I260" t="s">
        <v>919</v>
      </c>
      <c r="J260" t="b">
        <f t="shared" si="28"/>
        <v>0</v>
      </c>
      <c r="K260" s="3">
        <f t="shared" ca="1" si="29"/>
        <v>45</v>
      </c>
      <c r="L260" s="3">
        <f t="shared" ca="1" si="30"/>
        <v>0</v>
      </c>
      <c r="M260" t="str">
        <f t="shared" ca="1" si="31"/>
        <v>On Time</v>
      </c>
      <c r="N260">
        <f t="shared" si="33"/>
        <v>0</v>
      </c>
      <c r="O260" t="str" cm="1">
        <f t="array" aca="1" ref="O260" ca="1">_xlfn.IFS(
L260&lt;=0,"Not Due",
L260&lt;=30,"0–30 Days",
L260&lt;=60,"31–60 Days",
L260&lt;=90,"61–90 Days",
L260&lt;=180,"91–180 Days",
L260&lt;=365,"181–365 Days",
L260&gt;365,"365+ Days (High Risk)"
)</f>
        <v>Not Due</v>
      </c>
      <c r="P260">
        <f t="shared" si="34"/>
        <v>886.79</v>
      </c>
      <c r="Q260" s="3">
        <f t="shared" ca="1" si="32"/>
        <v>0</v>
      </c>
    </row>
    <row r="261" spans="1:17" x14ac:dyDescent="0.25">
      <c r="A261" t="s">
        <v>265</v>
      </c>
      <c r="B261" t="s">
        <v>906</v>
      </c>
      <c r="C261" s="1">
        <v>45072</v>
      </c>
      <c r="D261" s="1">
        <v>45117</v>
      </c>
      <c r="E261">
        <v>4441.37</v>
      </c>
      <c r="F261" t="s">
        <v>911</v>
      </c>
      <c r="G261" t="s">
        <v>916</v>
      </c>
      <c r="I261" t="s">
        <v>919</v>
      </c>
      <c r="J261" t="b">
        <f t="shared" si="28"/>
        <v>1</v>
      </c>
      <c r="K261" s="3">
        <f t="shared" ca="1" si="29"/>
        <v>979</v>
      </c>
      <c r="L261" s="3">
        <f t="shared" ca="1" si="30"/>
        <v>934</v>
      </c>
      <c r="M261" t="str">
        <f t="shared" ca="1" si="31"/>
        <v>Overdue</v>
      </c>
      <c r="N261">
        <f t="shared" si="33"/>
        <v>4441.37</v>
      </c>
      <c r="O261" t="str" cm="1">
        <f t="array" aca="1" ref="O261" ca="1">_xlfn.IFS(
L261&lt;=0,"Not Due",
L261&lt;=30,"0–30 Days",
L261&lt;=60,"31–60 Days",
L261&lt;=90,"61–90 Days",
L261&lt;=180,"91–180 Days",
L261&lt;=365,"181–365 Days",
L261&gt;365,"365+ Days (High Risk)"
)</f>
        <v>365+ Days (High Risk)</v>
      </c>
      <c r="P261">
        <f t="shared" si="34"/>
        <v>0</v>
      </c>
      <c r="Q261" s="3">
        <f t="shared" ca="1" si="32"/>
        <v>4441.37</v>
      </c>
    </row>
    <row r="262" spans="1:17" x14ac:dyDescent="0.25">
      <c r="A262" t="s">
        <v>266</v>
      </c>
      <c r="B262" t="s">
        <v>909</v>
      </c>
      <c r="C262" s="1">
        <v>45710</v>
      </c>
      <c r="D262" s="1">
        <v>45755</v>
      </c>
      <c r="E262">
        <v>4160.63</v>
      </c>
      <c r="F262" t="s">
        <v>912</v>
      </c>
      <c r="G262" t="s">
        <v>918</v>
      </c>
      <c r="H262" s="1">
        <v>45755</v>
      </c>
      <c r="I262" t="s">
        <v>919</v>
      </c>
      <c r="J262" t="b">
        <f t="shared" si="28"/>
        <v>0</v>
      </c>
      <c r="K262" s="3">
        <f t="shared" ca="1" si="29"/>
        <v>45</v>
      </c>
      <c r="L262" s="3">
        <f t="shared" ca="1" si="30"/>
        <v>0</v>
      </c>
      <c r="M262" t="str">
        <f t="shared" ca="1" si="31"/>
        <v>On Time</v>
      </c>
      <c r="N262">
        <f t="shared" si="33"/>
        <v>0</v>
      </c>
      <c r="O262" t="str" cm="1">
        <f t="array" aca="1" ref="O262" ca="1">_xlfn.IFS(
L262&lt;=0,"Not Due",
L262&lt;=30,"0–30 Days",
L262&lt;=60,"31–60 Days",
L262&lt;=90,"61–90 Days",
L262&lt;=180,"91–180 Days",
L262&lt;=365,"181–365 Days",
L262&gt;365,"365+ Days (High Risk)"
)</f>
        <v>Not Due</v>
      </c>
      <c r="P262">
        <f t="shared" si="34"/>
        <v>4160.63</v>
      </c>
      <c r="Q262" s="3">
        <f t="shared" ca="1" si="32"/>
        <v>0</v>
      </c>
    </row>
    <row r="263" spans="1:17" x14ac:dyDescent="0.25">
      <c r="A263" t="s">
        <v>267</v>
      </c>
      <c r="B263" t="s">
        <v>910</v>
      </c>
      <c r="C263" s="1">
        <v>45431</v>
      </c>
      <c r="D263" s="1">
        <v>45476</v>
      </c>
      <c r="E263">
        <v>2195.88</v>
      </c>
      <c r="F263" t="s">
        <v>915</v>
      </c>
      <c r="G263" t="s">
        <v>918</v>
      </c>
      <c r="H263" s="1">
        <v>45476</v>
      </c>
      <c r="I263" t="s">
        <v>919</v>
      </c>
      <c r="J263" t="b">
        <f t="shared" si="28"/>
        <v>0</v>
      </c>
      <c r="K263" s="3">
        <f t="shared" ca="1" si="29"/>
        <v>45</v>
      </c>
      <c r="L263" s="3">
        <f t="shared" ca="1" si="30"/>
        <v>0</v>
      </c>
      <c r="M263" t="str">
        <f t="shared" ca="1" si="31"/>
        <v>On Time</v>
      </c>
      <c r="N263">
        <f t="shared" si="33"/>
        <v>0</v>
      </c>
      <c r="O263" t="str" cm="1">
        <f t="array" aca="1" ref="O263" ca="1">_xlfn.IFS(
L263&lt;=0,"Not Due",
L263&lt;=30,"0–30 Days",
L263&lt;=60,"31–60 Days",
L263&lt;=90,"61–90 Days",
L263&lt;=180,"91–180 Days",
L263&lt;=365,"181–365 Days",
L263&gt;365,"365+ Days (High Risk)"
)</f>
        <v>Not Due</v>
      </c>
      <c r="P263">
        <f t="shared" si="34"/>
        <v>2195.88</v>
      </c>
      <c r="Q263" s="3">
        <f t="shared" ca="1" si="32"/>
        <v>0</v>
      </c>
    </row>
    <row r="264" spans="1:17" x14ac:dyDescent="0.25">
      <c r="A264" t="s">
        <v>268</v>
      </c>
      <c r="B264" t="s">
        <v>906</v>
      </c>
      <c r="C264" s="1">
        <v>45811</v>
      </c>
      <c r="D264" s="1">
        <v>45856</v>
      </c>
      <c r="E264">
        <v>7296</v>
      </c>
      <c r="F264" t="s">
        <v>915</v>
      </c>
      <c r="G264" t="s">
        <v>917</v>
      </c>
      <c r="I264" t="s">
        <v>919</v>
      </c>
      <c r="J264" t="b">
        <f t="shared" si="28"/>
        <v>1</v>
      </c>
      <c r="K264" s="3">
        <f t="shared" ca="1" si="29"/>
        <v>240</v>
      </c>
      <c r="L264" s="3">
        <f t="shared" ca="1" si="30"/>
        <v>195</v>
      </c>
      <c r="M264" t="str">
        <f t="shared" ca="1" si="31"/>
        <v>Overdue</v>
      </c>
      <c r="N264">
        <f t="shared" si="33"/>
        <v>7296</v>
      </c>
      <c r="O264" t="str" cm="1">
        <f t="array" aca="1" ref="O264" ca="1">_xlfn.IFS(
L264&lt;=0,"Not Due",
L264&lt;=30,"0–30 Days",
L264&lt;=60,"31–60 Days",
L264&lt;=90,"61–90 Days",
L264&lt;=180,"91–180 Days",
L264&lt;=365,"181–365 Days",
L264&gt;365,"365+ Days (High Risk)"
)</f>
        <v>181–365 Days</v>
      </c>
      <c r="P264">
        <f t="shared" si="34"/>
        <v>0</v>
      </c>
      <c r="Q264" s="3">
        <f t="shared" ca="1" si="32"/>
        <v>7296</v>
      </c>
    </row>
    <row r="265" spans="1:17" x14ac:dyDescent="0.25">
      <c r="A265" t="s">
        <v>269</v>
      </c>
      <c r="B265" t="s">
        <v>907</v>
      </c>
      <c r="C265" s="1">
        <v>45575</v>
      </c>
      <c r="D265" s="1">
        <v>45620</v>
      </c>
      <c r="E265">
        <v>2844.85</v>
      </c>
      <c r="F265" t="s">
        <v>915</v>
      </c>
      <c r="G265" t="s">
        <v>917</v>
      </c>
      <c r="I265" t="s">
        <v>919</v>
      </c>
      <c r="J265" t="b">
        <f t="shared" si="28"/>
        <v>1</v>
      </c>
      <c r="K265" s="3">
        <f t="shared" ca="1" si="29"/>
        <v>476</v>
      </c>
      <c r="L265" s="3">
        <f t="shared" ca="1" si="30"/>
        <v>431</v>
      </c>
      <c r="M265" t="str">
        <f t="shared" ca="1" si="31"/>
        <v>Overdue</v>
      </c>
      <c r="N265">
        <f t="shared" si="33"/>
        <v>2844.85</v>
      </c>
      <c r="O265" t="str" cm="1">
        <f t="array" aca="1" ref="O265" ca="1">_xlfn.IFS(
L265&lt;=0,"Not Due",
L265&lt;=30,"0–30 Days",
L265&lt;=60,"31–60 Days",
L265&lt;=90,"61–90 Days",
L265&lt;=180,"91–180 Days",
L265&lt;=365,"181–365 Days",
L265&gt;365,"365+ Days (High Risk)"
)</f>
        <v>365+ Days (High Risk)</v>
      </c>
      <c r="P265">
        <f t="shared" si="34"/>
        <v>0</v>
      </c>
      <c r="Q265" s="3">
        <f t="shared" ca="1" si="32"/>
        <v>2844.85</v>
      </c>
    </row>
    <row r="266" spans="1:17" x14ac:dyDescent="0.25">
      <c r="A266" t="s">
        <v>270</v>
      </c>
      <c r="B266" t="s">
        <v>906</v>
      </c>
      <c r="C266" s="1">
        <v>44975</v>
      </c>
      <c r="D266" s="1">
        <v>45020</v>
      </c>
      <c r="E266">
        <v>3336.12</v>
      </c>
      <c r="F266" t="s">
        <v>915</v>
      </c>
      <c r="G266" t="s">
        <v>917</v>
      </c>
      <c r="I266" t="s">
        <v>919</v>
      </c>
      <c r="J266" t="b">
        <f t="shared" si="28"/>
        <v>1</v>
      </c>
      <c r="K266" s="3">
        <f t="shared" ca="1" si="29"/>
        <v>1076</v>
      </c>
      <c r="L266" s="3">
        <f t="shared" ca="1" si="30"/>
        <v>1031</v>
      </c>
      <c r="M266" t="str">
        <f t="shared" ca="1" si="31"/>
        <v>Overdue</v>
      </c>
      <c r="N266">
        <f t="shared" si="33"/>
        <v>3336.12</v>
      </c>
      <c r="O266" t="str" cm="1">
        <f t="array" aca="1" ref="O266" ca="1">_xlfn.IFS(
L266&lt;=0,"Not Due",
L266&lt;=30,"0–30 Days",
L266&lt;=60,"31–60 Days",
L266&lt;=90,"61–90 Days",
L266&lt;=180,"91–180 Days",
L266&lt;=365,"181–365 Days",
L266&gt;365,"365+ Days (High Risk)"
)</f>
        <v>365+ Days (High Risk)</v>
      </c>
      <c r="P266">
        <f t="shared" si="34"/>
        <v>0</v>
      </c>
      <c r="Q266" s="3">
        <f t="shared" ca="1" si="32"/>
        <v>3336.12</v>
      </c>
    </row>
    <row r="267" spans="1:17" x14ac:dyDescent="0.25">
      <c r="A267" t="s">
        <v>271</v>
      </c>
      <c r="B267" t="s">
        <v>906</v>
      </c>
      <c r="C267" s="1">
        <v>45181</v>
      </c>
      <c r="D267" s="1">
        <v>45226</v>
      </c>
      <c r="E267">
        <v>5108.9399999999996</v>
      </c>
      <c r="F267" t="s">
        <v>915</v>
      </c>
      <c r="G267" t="s">
        <v>917</v>
      </c>
      <c r="I267" t="s">
        <v>919</v>
      </c>
      <c r="J267" t="b">
        <f t="shared" si="28"/>
        <v>1</v>
      </c>
      <c r="K267" s="3">
        <f t="shared" ca="1" si="29"/>
        <v>870</v>
      </c>
      <c r="L267" s="3">
        <f t="shared" ca="1" si="30"/>
        <v>825</v>
      </c>
      <c r="M267" t="str">
        <f t="shared" ca="1" si="31"/>
        <v>Overdue</v>
      </c>
      <c r="N267">
        <f t="shared" si="33"/>
        <v>5108.9399999999996</v>
      </c>
      <c r="O267" t="str" cm="1">
        <f t="array" aca="1" ref="O267" ca="1">_xlfn.IFS(
L267&lt;=0,"Not Due",
L267&lt;=30,"0–30 Days",
L267&lt;=60,"31–60 Days",
L267&lt;=90,"61–90 Days",
L267&lt;=180,"91–180 Days",
L267&lt;=365,"181–365 Days",
L267&gt;365,"365+ Days (High Risk)"
)</f>
        <v>365+ Days (High Risk)</v>
      </c>
      <c r="P267">
        <f t="shared" si="34"/>
        <v>0</v>
      </c>
      <c r="Q267" s="3">
        <f t="shared" ca="1" si="32"/>
        <v>5108.9399999999996</v>
      </c>
    </row>
    <row r="268" spans="1:17" x14ac:dyDescent="0.25">
      <c r="A268" t="s">
        <v>272</v>
      </c>
      <c r="B268" t="s">
        <v>906</v>
      </c>
      <c r="C268" s="1">
        <v>44965</v>
      </c>
      <c r="D268" s="1">
        <v>45010</v>
      </c>
      <c r="E268">
        <v>3254.83</v>
      </c>
      <c r="F268" t="s">
        <v>911</v>
      </c>
      <c r="G268" t="s">
        <v>916</v>
      </c>
      <c r="I268" t="s">
        <v>919</v>
      </c>
      <c r="J268" t="b">
        <f t="shared" si="28"/>
        <v>1</v>
      </c>
      <c r="K268" s="3">
        <f t="shared" ca="1" si="29"/>
        <v>1086</v>
      </c>
      <c r="L268" s="3">
        <f t="shared" ca="1" si="30"/>
        <v>1041</v>
      </c>
      <c r="M268" t="str">
        <f t="shared" ca="1" si="31"/>
        <v>Overdue</v>
      </c>
      <c r="N268">
        <f t="shared" si="33"/>
        <v>3254.83</v>
      </c>
      <c r="O268" t="str" cm="1">
        <f t="array" aca="1" ref="O268" ca="1">_xlfn.IFS(
L268&lt;=0,"Not Due",
L268&lt;=30,"0–30 Days",
L268&lt;=60,"31–60 Days",
L268&lt;=90,"61–90 Days",
L268&lt;=180,"91–180 Days",
L268&lt;=365,"181–365 Days",
L268&gt;365,"365+ Days (High Risk)"
)</f>
        <v>365+ Days (High Risk)</v>
      </c>
      <c r="P268">
        <f t="shared" si="34"/>
        <v>0</v>
      </c>
      <c r="Q268" s="3">
        <f t="shared" ca="1" si="32"/>
        <v>3254.83</v>
      </c>
    </row>
    <row r="269" spans="1:17" x14ac:dyDescent="0.25">
      <c r="A269" t="s">
        <v>273</v>
      </c>
      <c r="B269" t="s">
        <v>908</v>
      </c>
      <c r="C269" s="1">
        <v>45469</v>
      </c>
      <c r="D269" s="1">
        <v>45514</v>
      </c>
      <c r="E269">
        <v>7762.92</v>
      </c>
      <c r="F269" t="s">
        <v>913</v>
      </c>
      <c r="G269" t="s">
        <v>918</v>
      </c>
      <c r="H269" s="1">
        <v>45514</v>
      </c>
      <c r="I269" t="s">
        <v>919</v>
      </c>
      <c r="J269" t="b">
        <f t="shared" si="28"/>
        <v>0</v>
      </c>
      <c r="K269" s="3">
        <f t="shared" ca="1" si="29"/>
        <v>45</v>
      </c>
      <c r="L269" s="3">
        <f t="shared" ca="1" si="30"/>
        <v>0</v>
      </c>
      <c r="M269" t="str">
        <f t="shared" ca="1" si="31"/>
        <v>On Time</v>
      </c>
      <c r="N269">
        <f t="shared" si="33"/>
        <v>0</v>
      </c>
      <c r="O269" t="str" cm="1">
        <f t="array" aca="1" ref="O269" ca="1">_xlfn.IFS(
L269&lt;=0,"Not Due",
L269&lt;=30,"0–30 Days",
L269&lt;=60,"31–60 Days",
L269&lt;=90,"61–90 Days",
L269&lt;=180,"91–180 Days",
L269&lt;=365,"181–365 Days",
L269&gt;365,"365+ Days (High Risk)"
)</f>
        <v>Not Due</v>
      </c>
      <c r="P269">
        <f t="shared" si="34"/>
        <v>7762.92</v>
      </c>
      <c r="Q269" s="3">
        <f t="shared" ca="1" si="32"/>
        <v>0</v>
      </c>
    </row>
    <row r="270" spans="1:17" x14ac:dyDescent="0.25">
      <c r="A270" t="s">
        <v>274</v>
      </c>
      <c r="B270" t="s">
        <v>906</v>
      </c>
      <c r="C270" s="1">
        <v>45680</v>
      </c>
      <c r="D270" s="1">
        <v>45725</v>
      </c>
      <c r="E270">
        <v>1049.32</v>
      </c>
      <c r="F270" t="s">
        <v>912</v>
      </c>
      <c r="G270" t="s">
        <v>917</v>
      </c>
      <c r="I270" t="s">
        <v>919</v>
      </c>
      <c r="J270" t="b">
        <f t="shared" si="28"/>
        <v>1</v>
      </c>
      <c r="K270" s="3">
        <f t="shared" ca="1" si="29"/>
        <v>371</v>
      </c>
      <c r="L270" s="3">
        <f t="shared" ca="1" si="30"/>
        <v>326</v>
      </c>
      <c r="M270" t="str">
        <f t="shared" ca="1" si="31"/>
        <v>Overdue</v>
      </c>
      <c r="N270">
        <f t="shared" si="33"/>
        <v>1049.32</v>
      </c>
      <c r="O270" t="str" cm="1">
        <f t="array" aca="1" ref="O270" ca="1">_xlfn.IFS(
L270&lt;=0,"Not Due",
L270&lt;=30,"0–30 Days",
L270&lt;=60,"31–60 Days",
L270&lt;=90,"61–90 Days",
L270&lt;=180,"91–180 Days",
L270&lt;=365,"181–365 Days",
L270&gt;365,"365+ Days (High Risk)"
)</f>
        <v>181–365 Days</v>
      </c>
      <c r="P270">
        <f t="shared" si="34"/>
        <v>0</v>
      </c>
      <c r="Q270" s="3">
        <f t="shared" ca="1" si="32"/>
        <v>1049.32</v>
      </c>
    </row>
    <row r="271" spans="1:17" x14ac:dyDescent="0.25">
      <c r="A271" t="s">
        <v>275</v>
      </c>
      <c r="B271" t="s">
        <v>906</v>
      </c>
      <c r="C271" s="1">
        <v>45632</v>
      </c>
      <c r="D271" s="1">
        <v>45677</v>
      </c>
      <c r="E271">
        <v>2254.94</v>
      </c>
      <c r="F271" t="s">
        <v>913</v>
      </c>
      <c r="G271" t="s">
        <v>918</v>
      </c>
      <c r="H271" s="1">
        <v>45677</v>
      </c>
      <c r="I271" t="s">
        <v>919</v>
      </c>
      <c r="J271" t="b">
        <f t="shared" si="28"/>
        <v>0</v>
      </c>
      <c r="K271" s="3">
        <f t="shared" ca="1" si="29"/>
        <v>45</v>
      </c>
      <c r="L271" s="3">
        <f t="shared" ca="1" si="30"/>
        <v>0</v>
      </c>
      <c r="M271" t="str">
        <f t="shared" ca="1" si="31"/>
        <v>On Time</v>
      </c>
      <c r="N271">
        <f t="shared" si="33"/>
        <v>0</v>
      </c>
      <c r="O271" t="str" cm="1">
        <f t="array" aca="1" ref="O271" ca="1">_xlfn.IFS(
L271&lt;=0,"Not Due",
L271&lt;=30,"0–30 Days",
L271&lt;=60,"31–60 Days",
L271&lt;=90,"61–90 Days",
L271&lt;=180,"91–180 Days",
L271&lt;=365,"181–365 Days",
L271&gt;365,"365+ Days (High Risk)"
)</f>
        <v>Not Due</v>
      </c>
      <c r="P271">
        <f t="shared" si="34"/>
        <v>2254.94</v>
      </c>
      <c r="Q271" s="3">
        <f t="shared" ca="1" si="32"/>
        <v>0</v>
      </c>
    </row>
    <row r="272" spans="1:17" x14ac:dyDescent="0.25">
      <c r="A272" t="s">
        <v>276</v>
      </c>
      <c r="B272" t="s">
        <v>910</v>
      </c>
      <c r="C272" s="1">
        <v>45283</v>
      </c>
      <c r="D272" s="1">
        <v>45328</v>
      </c>
      <c r="E272">
        <v>7185.54</v>
      </c>
      <c r="F272" t="s">
        <v>913</v>
      </c>
      <c r="G272" t="s">
        <v>916</v>
      </c>
      <c r="I272" t="s">
        <v>919</v>
      </c>
      <c r="J272" t="b">
        <f t="shared" si="28"/>
        <v>1</v>
      </c>
      <c r="K272" s="3">
        <f t="shared" ca="1" si="29"/>
        <v>768</v>
      </c>
      <c r="L272" s="3">
        <f t="shared" ca="1" si="30"/>
        <v>723</v>
      </c>
      <c r="M272" t="str">
        <f t="shared" ca="1" si="31"/>
        <v>Overdue</v>
      </c>
      <c r="N272">
        <f t="shared" si="33"/>
        <v>7185.54</v>
      </c>
      <c r="O272" t="str" cm="1">
        <f t="array" aca="1" ref="O272" ca="1">_xlfn.IFS(
L272&lt;=0,"Not Due",
L272&lt;=30,"0–30 Days",
L272&lt;=60,"31–60 Days",
L272&lt;=90,"61–90 Days",
L272&lt;=180,"91–180 Days",
L272&lt;=365,"181–365 Days",
L272&gt;365,"365+ Days (High Risk)"
)</f>
        <v>365+ Days (High Risk)</v>
      </c>
      <c r="P272">
        <f t="shared" si="34"/>
        <v>0</v>
      </c>
      <c r="Q272" s="3">
        <f t="shared" ca="1" si="32"/>
        <v>7185.54</v>
      </c>
    </row>
    <row r="273" spans="1:17" x14ac:dyDescent="0.25">
      <c r="A273" t="s">
        <v>277</v>
      </c>
      <c r="B273" t="s">
        <v>910</v>
      </c>
      <c r="C273" s="1">
        <v>45338</v>
      </c>
      <c r="D273" s="1">
        <v>45383</v>
      </c>
      <c r="E273">
        <v>1472.13</v>
      </c>
      <c r="F273" t="s">
        <v>914</v>
      </c>
      <c r="G273" t="s">
        <v>917</v>
      </c>
      <c r="I273" t="s">
        <v>919</v>
      </c>
      <c r="J273" t="b">
        <f t="shared" si="28"/>
        <v>1</v>
      </c>
      <c r="K273" s="3">
        <f t="shared" ca="1" si="29"/>
        <v>713</v>
      </c>
      <c r="L273" s="3">
        <f t="shared" ca="1" si="30"/>
        <v>668</v>
      </c>
      <c r="M273" t="str">
        <f t="shared" ca="1" si="31"/>
        <v>Overdue</v>
      </c>
      <c r="N273">
        <f t="shared" si="33"/>
        <v>1472.13</v>
      </c>
      <c r="O273" t="str" cm="1">
        <f t="array" aca="1" ref="O273" ca="1">_xlfn.IFS(
L273&lt;=0,"Not Due",
L273&lt;=30,"0–30 Days",
L273&lt;=60,"31–60 Days",
L273&lt;=90,"61–90 Days",
L273&lt;=180,"91–180 Days",
L273&lt;=365,"181–365 Days",
L273&gt;365,"365+ Days (High Risk)"
)</f>
        <v>365+ Days (High Risk)</v>
      </c>
      <c r="P273">
        <f t="shared" si="34"/>
        <v>0</v>
      </c>
      <c r="Q273" s="3">
        <f t="shared" ca="1" si="32"/>
        <v>1472.13</v>
      </c>
    </row>
    <row r="274" spans="1:17" x14ac:dyDescent="0.25">
      <c r="A274" t="s">
        <v>278</v>
      </c>
      <c r="B274" t="s">
        <v>909</v>
      </c>
      <c r="C274" s="1">
        <v>45044</v>
      </c>
      <c r="D274" s="1">
        <v>45089</v>
      </c>
      <c r="E274">
        <v>5363.52</v>
      </c>
      <c r="F274" t="s">
        <v>913</v>
      </c>
      <c r="G274" t="s">
        <v>916</v>
      </c>
      <c r="I274" t="s">
        <v>919</v>
      </c>
      <c r="J274" t="b">
        <f t="shared" si="28"/>
        <v>1</v>
      </c>
      <c r="K274" s="3">
        <f t="shared" ca="1" si="29"/>
        <v>1007</v>
      </c>
      <c r="L274" s="3">
        <f t="shared" ca="1" si="30"/>
        <v>962</v>
      </c>
      <c r="M274" t="str">
        <f t="shared" ca="1" si="31"/>
        <v>Overdue</v>
      </c>
      <c r="N274">
        <f t="shared" si="33"/>
        <v>5363.52</v>
      </c>
      <c r="O274" t="str" cm="1">
        <f t="array" aca="1" ref="O274" ca="1">_xlfn.IFS(
L274&lt;=0,"Not Due",
L274&lt;=30,"0–30 Days",
L274&lt;=60,"31–60 Days",
L274&lt;=90,"61–90 Days",
L274&lt;=180,"91–180 Days",
L274&lt;=365,"181–365 Days",
L274&gt;365,"365+ Days (High Risk)"
)</f>
        <v>365+ Days (High Risk)</v>
      </c>
      <c r="P274">
        <f t="shared" si="34"/>
        <v>0</v>
      </c>
      <c r="Q274" s="3">
        <f t="shared" ca="1" si="32"/>
        <v>5363.52</v>
      </c>
    </row>
    <row r="275" spans="1:17" x14ac:dyDescent="0.25">
      <c r="A275" t="s">
        <v>279</v>
      </c>
      <c r="B275" t="s">
        <v>907</v>
      </c>
      <c r="C275" s="1">
        <v>45265</v>
      </c>
      <c r="D275" s="1">
        <v>45310</v>
      </c>
      <c r="E275">
        <v>3298.99</v>
      </c>
      <c r="F275" t="s">
        <v>915</v>
      </c>
      <c r="G275" t="s">
        <v>916</v>
      </c>
      <c r="I275" t="s">
        <v>919</v>
      </c>
      <c r="J275" t="b">
        <f t="shared" si="28"/>
        <v>1</v>
      </c>
      <c r="K275" s="3">
        <f t="shared" ca="1" si="29"/>
        <v>786</v>
      </c>
      <c r="L275" s="3">
        <f t="shared" ca="1" si="30"/>
        <v>741</v>
      </c>
      <c r="M275" t="str">
        <f t="shared" ca="1" si="31"/>
        <v>Overdue</v>
      </c>
      <c r="N275">
        <f t="shared" si="33"/>
        <v>3298.99</v>
      </c>
      <c r="O275" t="str" cm="1">
        <f t="array" aca="1" ref="O275" ca="1">_xlfn.IFS(
L275&lt;=0,"Not Due",
L275&lt;=30,"0–30 Days",
L275&lt;=60,"31–60 Days",
L275&lt;=90,"61–90 Days",
L275&lt;=180,"91–180 Days",
L275&lt;=365,"181–365 Days",
L275&gt;365,"365+ Days (High Risk)"
)</f>
        <v>365+ Days (High Risk)</v>
      </c>
      <c r="P275">
        <f t="shared" si="34"/>
        <v>0</v>
      </c>
      <c r="Q275" s="3">
        <f t="shared" ca="1" si="32"/>
        <v>3298.99</v>
      </c>
    </row>
    <row r="276" spans="1:17" x14ac:dyDescent="0.25">
      <c r="A276" t="s">
        <v>280</v>
      </c>
      <c r="B276" t="s">
        <v>906</v>
      </c>
      <c r="C276" s="1">
        <v>45831</v>
      </c>
      <c r="D276" s="1">
        <v>45876</v>
      </c>
      <c r="E276">
        <v>7176.07</v>
      </c>
      <c r="F276" t="s">
        <v>912</v>
      </c>
      <c r="G276" t="s">
        <v>917</v>
      </c>
      <c r="I276" t="s">
        <v>919</v>
      </c>
      <c r="J276" t="b">
        <f t="shared" si="28"/>
        <v>1</v>
      </c>
      <c r="K276" s="3">
        <f t="shared" ca="1" si="29"/>
        <v>220</v>
      </c>
      <c r="L276" s="3">
        <f t="shared" ca="1" si="30"/>
        <v>175</v>
      </c>
      <c r="M276" t="str">
        <f t="shared" ca="1" si="31"/>
        <v>Overdue</v>
      </c>
      <c r="N276">
        <f t="shared" si="33"/>
        <v>7176.07</v>
      </c>
      <c r="O276" t="str" cm="1">
        <f t="array" aca="1" ref="O276" ca="1">_xlfn.IFS(
L276&lt;=0,"Not Due",
L276&lt;=30,"0–30 Days",
L276&lt;=60,"31–60 Days",
L276&lt;=90,"61–90 Days",
L276&lt;=180,"91–180 Days",
L276&lt;=365,"181–365 Days",
L276&gt;365,"365+ Days (High Risk)"
)</f>
        <v>91–180 Days</v>
      </c>
      <c r="P276">
        <f t="shared" si="34"/>
        <v>0</v>
      </c>
      <c r="Q276" s="3">
        <f t="shared" ca="1" si="32"/>
        <v>7176.07</v>
      </c>
    </row>
    <row r="277" spans="1:17" x14ac:dyDescent="0.25">
      <c r="A277" t="s">
        <v>281</v>
      </c>
      <c r="B277" t="s">
        <v>909</v>
      </c>
      <c r="C277" s="1">
        <v>45727</v>
      </c>
      <c r="D277" s="1">
        <v>45772</v>
      </c>
      <c r="E277">
        <v>5173.26</v>
      </c>
      <c r="F277" t="s">
        <v>911</v>
      </c>
      <c r="G277" t="s">
        <v>918</v>
      </c>
      <c r="H277" s="1">
        <v>45772</v>
      </c>
      <c r="I277" t="s">
        <v>919</v>
      </c>
      <c r="J277" t="b">
        <f t="shared" si="28"/>
        <v>0</v>
      </c>
      <c r="K277" s="3">
        <f t="shared" ca="1" si="29"/>
        <v>45</v>
      </c>
      <c r="L277" s="3">
        <f t="shared" ca="1" si="30"/>
        <v>0</v>
      </c>
      <c r="M277" t="str">
        <f t="shared" ca="1" si="31"/>
        <v>On Time</v>
      </c>
      <c r="N277">
        <f t="shared" si="33"/>
        <v>0</v>
      </c>
      <c r="O277" t="str" cm="1">
        <f t="array" aca="1" ref="O277" ca="1">_xlfn.IFS(
L277&lt;=0,"Not Due",
L277&lt;=30,"0–30 Days",
L277&lt;=60,"31–60 Days",
L277&lt;=90,"61–90 Days",
L277&lt;=180,"91–180 Days",
L277&lt;=365,"181–365 Days",
L277&gt;365,"365+ Days (High Risk)"
)</f>
        <v>Not Due</v>
      </c>
      <c r="P277">
        <f t="shared" si="34"/>
        <v>5173.26</v>
      </c>
      <c r="Q277" s="3">
        <f t="shared" ca="1" si="32"/>
        <v>0</v>
      </c>
    </row>
    <row r="278" spans="1:17" x14ac:dyDescent="0.25">
      <c r="A278" t="s">
        <v>282</v>
      </c>
      <c r="B278" t="s">
        <v>906</v>
      </c>
      <c r="C278" s="1">
        <v>45093</v>
      </c>
      <c r="D278" s="1">
        <v>45138</v>
      </c>
      <c r="E278">
        <v>6767.83</v>
      </c>
      <c r="F278" t="s">
        <v>914</v>
      </c>
      <c r="G278" t="s">
        <v>918</v>
      </c>
      <c r="H278" s="1">
        <v>45138</v>
      </c>
      <c r="I278" t="s">
        <v>919</v>
      </c>
      <c r="J278" t="b">
        <f t="shared" si="28"/>
        <v>0</v>
      </c>
      <c r="K278" s="3">
        <f t="shared" ca="1" si="29"/>
        <v>45</v>
      </c>
      <c r="L278" s="3">
        <f t="shared" ca="1" si="30"/>
        <v>0</v>
      </c>
      <c r="M278" t="str">
        <f t="shared" ca="1" si="31"/>
        <v>On Time</v>
      </c>
      <c r="N278">
        <f t="shared" si="33"/>
        <v>0</v>
      </c>
      <c r="O278" t="str" cm="1">
        <f t="array" aca="1" ref="O278" ca="1">_xlfn.IFS(
L278&lt;=0,"Not Due",
L278&lt;=30,"0–30 Days",
L278&lt;=60,"31–60 Days",
L278&lt;=90,"61–90 Days",
L278&lt;=180,"91–180 Days",
L278&lt;=365,"181–365 Days",
L278&gt;365,"365+ Days (High Risk)"
)</f>
        <v>Not Due</v>
      </c>
      <c r="P278">
        <f t="shared" si="34"/>
        <v>6767.83</v>
      </c>
      <c r="Q278" s="3">
        <f t="shared" ca="1" si="32"/>
        <v>0</v>
      </c>
    </row>
    <row r="279" spans="1:17" x14ac:dyDescent="0.25">
      <c r="A279" t="s">
        <v>283</v>
      </c>
      <c r="B279" t="s">
        <v>907</v>
      </c>
      <c r="C279" s="1">
        <v>45637</v>
      </c>
      <c r="D279" s="1">
        <v>45682</v>
      </c>
      <c r="E279">
        <v>618.77</v>
      </c>
      <c r="F279" t="s">
        <v>912</v>
      </c>
      <c r="G279" t="s">
        <v>917</v>
      </c>
      <c r="I279" t="s">
        <v>919</v>
      </c>
      <c r="J279" t="b">
        <f t="shared" si="28"/>
        <v>1</v>
      </c>
      <c r="K279" s="3">
        <f t="shared" ca="1" si="29"/>
        <v>414</v>
      </c>
      <c r="L279" s="3">
        <f t="shared" ca="1" si="30"/>
        <v>369</v>
      </c>
      <c r="M279" t="str">
        <f t="shared" ca="1" si="31"/>
        <v>Overdue</v>
      </c>
      <c r="N279">
        <f t="shared" si="33"/>
        <v>618.77</v>
      </c>
      <c r="O279" t="str" cm="1">
        <f t="array" aca="1" ref="O279" ca="1">_xlfn.IFS(
L279&lt;=0,"Not Due",
L279&lt;=30,"0–30 Days",
L279&lt;=60,"31–60 Days",
L279&lt;=90,"61–90 Days",
L279&lt;=180,"91–180 Days",
L279&lt;=365,"181–365 Days",
L279&gt;365,"365+ Days (High Risk)"
)</f>
        <v>365+ Days (High Risk)</v>
      </c>
      <c r="P279">
        <f t="shared" si="34"/>
        <v>0</v>
      </c>
      <c r="Q279" s="3">
        <f t="shared" ca="1" si="32"/>
        <v>618.77</v>
      </c>
    </row>
    <row r="280" spans="1:17" x14ac:dyDescent="0.25">
      <c r="A280" t="s">
        <v>284</v>
      </c>
      <c r="B280" t="s">
        <v>910</v>
      </c>
      <c r="C280" s="1">
        <v>45588</v>
      </c>
      <c r="D280" s="1">
        <v>45633</v>
      </c>
      <c r="E280">
        <v>3945.49</v>
      </c>
      <c r="F280" t="s">
        <v>915</v>
      </c>
      <c r="G280" t="s">
        <v>916</v>
      </c>
      <c r="I280" t="s">
        <v>919</v>
      </c>
      <c r="J280" t="b">
        <f t="shared" si="28"/>
        <v>1</v>
      </c>
      <c r="K280" s="3">
        <f t="shared" ca="1" si="29"/>
        <v>463</v>
      </c>
      <c r="L280" s="3">
        <f t="shared" ca="1" si="30"/>
        <v>418</v>
      </c>
      <c r="M280" t="str">
        <f t="shared" ca="1" si="31"/>
        <v>Overdue</v>
      </c>
      <c r="N280">
        <f t="shared" si="33"/>
        <v>3945.49</v>
      </c>
      <c r="O280" t="str" cm="1">
        <f t="array" aca="1" ref="O280" ca="1">_xlfn.IFS(
L280&lt;=0,"Not Due",
L280&lt;=30,"0–30 Days",
L280&lt;=60,"31–60 Days",
L280&lt;=90,"61–90 Days",
L280&lt;=180,"91–180 Days",
L280&lt;=365,"181–365 Days",
L280&gt;365,"365+ Days (High Risk)"
)</f>
        <v>365+ Days (High Risk)</v>
      </c>
      <c r="P280">
        <f t="shared" si="34"/>
        <v>0</v>
      </c>
      <c r="Q280" s="3">
        <f t="shared" ca="1" si="32"/>
        <v>3945.49</v>
      </c>
    </row>
    <row r="281" spans="1:17" x14ac:dyDescent="0.25">
      <c r="A281" t="s">
        <v>285</v>
      </c>
      <c r="B281" t="s">
        <v>908</v>
      </c>
      <c r="C281" s="1">
        <v>44928</v>
      </c>
      <c r="D281" s="1">
        <v>44973</v>
      </c>
      <c r="E281">
        <v>4532.6499999999996</v>
      </c>
      <c r="F281" t="s">
        <v>915</v>
      </c>
      <c r="G281" t="s">
        <v>918</v>
      </c>
      <c r="H281" s="1">
        <v>44973</v>
      </c>
      <c r="I281" t="s">
        <v>919</v>
      </c>
      <c r="J281" t="b">
        <f t="shared" si="28"/>
        <v>0</v>
      </c>
      <c r="K281" s="3">
        <f t="shared" ca="1" si="29"/>
        <v>45</v>
      </c>
      <c r="L281" s="3">
        <f t="shared" ca="1" si="30"/>
        <v>0</v>
      </c>
      <c r="M281" t="str">
        <f t="shared" ca="1" si="31"/>
        <v>On Time</v>
      </c>
      <c r="N281">
        <f t="shared" si="33"/>
        <v>0</v>
      </c>
      <c r="O281" t="str" cm="1">
        <f t="array" aca="1" ref="O281" ca="1">_xlfn.IFS(
L281&lt;=0,"Not Due",
L281&lt;=30,"0–30 Days",
L281&lt;=60,"31–60 Days",
L281&lt;=90,"61–90 Days",
L281&lt;=180,"91–180 Days",
L281&lt;=365,"181–365 Days",
L281&gt;365,"365+ Days (High Risk)"
)</f>
        <v>Not Due</v>
      </c>
      <c r="P281">
        <f t="shared" si="34"/>
        <v>4532.6499999999996</v>
      </c>
      <c r="Q281" s="3">
        <f t="shared" ca="1" si="32"/>
        <v>0</v>
      </c>
    </row>
    <row r="282" spans="1:17" x14ac:dyDescent="0.25">
      <c r="A282" t="s">
        <v>286</v>
      </c>
      <c r="B282" t="s">
        <v>908</v>
      </c>
      <c r="C282" s="1">
        <v>45407</v>
      </c>
      <c r="D282" s="1">
        <v>45452</v>
      </c>
      <c r="E282">
        <v>5769.67</v>
      </c>
      <c r="F282" t="s">
        <v>911</v>
      </c>
      <c r="G282" t="s">
        <v>918</v>
      </c>
      <c r="H282" s="1">
        <v>45452</v>
      </c>
      <c r="I282" t="s">
        <v>919</v>
      </c>
      <c r="J282" t="b">
        <f t="shared" si="28"/>
        <v>0</v>
      </c>
      <c r="K282" s="3">
        <f t="shared" ca="1" si="29"/>
        <v>45</v>
      </c>
      <c r="L282" s="3">
        <f t="shared" ca="1" si="30"/>
        <v>0</v>
      </c>
      <c r="M282" t="str">
        <f t="shared" ca="1" si="31"/>
        <v>On Time</v>
      </c>
      <c r="N282">
        <f t="shared" si="33"/>
        <v>0</v>
      </c>
      <c r="O282" t="str" cm="1">
        <f t="array" aca="1" ref="O282" ca="1">_xlfn.IFS(
L282&lt;=0,"Not Due",
L282&lt;=30,"0–30 Days",
L282&lt;=60,"31–60 Days",
L282&lt;=90,"61–90 Days",
L282&lt;=180,"91–180 Days",
L282&lt;=365,"181–365 Days",
L282&gt;365,"365+ Days (High Risk)"
)</f>
        <v>Not Due</v>
      </c>
      <c r="P282">
        <f t="shared" si="34"/>
        <v>5769.67</v>
      </c>
      <c r="Q282" s="3">
        <f t="shared" ca="1" si="32"/>
        <v>0</v>
      </c>
    </row>
    <row r="283" spans="1:17" x14ac:dyDescent="0.25">
      <c r="A283" t="s">
        <v>287</v>
      </c>
      <c r="B283" t="s">
        <v>907</v>
      </c>
      <c r="C283" s="1">
        <v>44947</v>
      </c>
      <c r="D283" s="1">
        <v>44992</v>
      </c>
      <c r="E283">
        <v>1912.05</v>
      </c>
      <c r="F283" t="s">
        <v>914</v>
      </c>
      <c r="G283" t="s">
        <v>917</v>
      </c>
      <c r="I283" t="s">
        <v>919</v>
      </c>
      <c r="J283" t="b">
        <f t="shared" si="28"/>
        <v>1</v>
      </c>
      <c r="K283" s="3">
        <f t="shared" ca="1" si="29"/>
        <v>1104</v>
      </c>
      <c r="L283" s="3">
        <f t="shared" ca="1" si="30"/>
        <v>1059</v>
      </c>
      <c r="M283" t="str">
        <f t="shared" ca="1" si="31"/>
        <v>Overdue</v>
      </c>
      <c r="N283">
        <f t="shared" si="33"/>
        <v>1912.05</v>
      </c>
      <c r="O283" t="str" cm="1">
        <f t="array" aca="1" ref="O283" ca="1">_xlfn.IFS(
L283&lt;=0,"Not Due",
L283&lt;=30,"0–30 Days",
L283&lt;=60,"31–60 Days",
L283&lt;=90,"61–90 Days",
L283&lt;=180,"91–180 Days",
L283&lt;=365,"181–365 Days",
L283&gt;365,"365+ Days (High Risk)"
)</f>
        <v>365+ Days (High Risk)</v>
      </c>
      <c r="P283">
        <f t="shared" si="34"/>
        <v>0</v>
      </c>
      <c r="Q283" s="3">
        <f t="shared" ca="1" si="32"/>
        <v>1912.05</v>
      </c>
    </row>
    <row r="284" spans="1:17" x14ac:dyDescent="0.25">
      <c r="A284" t="s">
        <v>288</v>
      </c>
      <c r="B284" t="s">
        <v>906</v>
      </c>
      <c r="C284" s="1">
        <v>45615</v>
      </c>
      <c r="D284" s="1">
        <v>45660</v>
      </c>
      <c r="E284">
        <v>5329.48</v>
      </c>
      <c r="F284" t="s">
        <v>912</v>
      </c>
      <c r="G284" t="s">
        <v>916</v>
      </c>
      <c r="I284" t="s">
        <v>919</v>
      </c>
      <c r="J284" t="b">
        <f t="shared" si="28"/>
        <v>1</v>
      </c>
      <c r="K284" s="3">
        <f t="shared" ca="1" si="29"/>
        <v>436</v>
      </c>
      <c r="L284" s="3">
        <f t="shared" ca="1" si="30"/>
        <v>391</v>
      </c>
      <c r="M284" t="str">
        <f t="shared" ca="1" si="31"/>
        <v>Overdue</v>
      </c>
      <c r="N284">
        <f t="shared" si="33"/>
        <v>5329.48</v>
      </c>
      <c r="O284" t="str" cm="1">
        <f t="array" aca="1" ref="O284" ca="1">_xlfn.IFS(
L284&lt;=0,"Not Due",
L284&lt;=30,"0–30 Days",
L284&lt;=60,"31–60 Days",
L284&lt;=90,"61–90 Days",
L284&lt;=180,"91–180 Days",
L284&lt;=365,"181–365 Days",
L284&gt;365,"365+ Days (High Risk)"
)</f>
        <v>365+ Days (High Risk)</v>
      </c>
      <c r="P284">
        <f t="shared" si="34"/>
        <v>0</v>
      </c>
      <c r="Q284" s="3">
        <f t="shared" ca="1" si="32"/>
        <v>5329.48</v>
      </c>
    </row>
    <row r="285" spans="1:17" x14ac:dyDescent="0.25">
      <c r="A285" t="s">
        <v>289</v>
      </c>
      <c r="B285" t="s">
        <v>906</v>
      </c>
      <c r="C285" s="1">
        <v>45463</v>
      </c>
      <c r="D285" s="1">
        <v>45508</v>
      </c>
      <c r="E285">
        <v>5287.6</v>
      </c>
      <c r="F285" t="s">
        <v>913</v>
      </c>
      <c r="G285" t="s">
        <v>917</v>
      </c>
      <c r="I285" t="s">
        <v>919</v>
      </c>
      <c r="J285" t="b">
        <f t="shared" si="28"/>
        <v>1</v>
      </c>
      <c r="K285" s="3">
        <f t="shared" ca="1" si="29"/>
        <v>588</v>
      </c>
      <c r="L285" s="3">
        <f t="shared" ca="1" si="30"/>
        <v>543</v>
      </c>
      <c r="M285" t="str">
        <f t="shared" ca="1" si="31"/>
        <v>Overdue</v>
      </c>
      <c r="N285">
        <f t="shared" si="33"/>
        <v>5287.6</v>
      </c>
      <c r="O285" t="str" cm="1">
        <f t="array" aca="1" ref="O285" ca="1">_xlfn.IFS(
L285&lt;=0,"Not Due",
L285&lt;=30,"0–30 Days",
L285&lt;=60,"31–60 Days",
L285&lt;=90,"61–90 Days",
L285&lt;=180,"91–180 Days",
L285&lt;=365,"181–365 Days",
L285&gt;365,"365+ Days (High Risk)"
)</f>
        <v>365+ Days (High Risk)</v>
      </c>
      <c r="P285">
        <f t="shared" si="34"/>
        <v>0</v>
      </c>
      <c r="Q285" s="3">
        <f t="shared" ca="1" si="32"/>
        <v>5287.6</v>
      </c>
    </row>
    <row r="286" spans="1:17" x14ac:dyDescent="0.25">
      <c r="A286" t="s">
        <v>290</v>
      </c>
      <c r="B286" t="s">
        <v>908</v>
      </c>
      <c r="C286" s="1">
        <v>45536</v>
      </c>
      <c r="D286" s="1">
        <v>45581</v>
      </c>
      <c r="E286">
        <v>4912.0600000000004</v>
      </c>
      <c r="F286" t="s">
        <v>914</v>
      </c>
      <c r="G286" t="s">
        <v>917</v>
      </c>
      <c r="I286" t="s">
        <v>919</v>
      </c>
      <c r="J286" t="b">
        <f t="shared" si="28"/>
        <v>1</v>
      </c>
      <c r="K286" s="3">
        <f t="shared" ca="1" si="29"/>
        <v>515</v>
      </c>
      <c r="L286" s="3">
        <f t="shared" ca="1" si="30"/>
        <v>470</v>
      </c>
      <c r="M286" t="str">
        <f t="shared" ca="1" si="31"/>
        <v>Overdue</v>
      </c>
      <c r="N286">
        <f t="shared" si="33"/>
        <v>4912.0600000000004</v>
      </c>
      <c r="O286" t="str" cm="1">
        <f t="array" aca="1" ref="O286" ca="1">_xlfn.IFS(
L286&lt;=0,"Not Due",
L286&lt;=30,"0–30 Days",
L286&lt;=60,"31–60 Days",
L286&lt;=90,"61–90 Days",
L286&lt;=180,"91–180 Days",
L286&lt;=365,"181–365 Days",
L286&gt;365,"365+ Days (High Risk)"
)</f>
        <v>365+ Days (High Risk)</v>
      </c>
      <c r="P286">
        <f t="shared" si="34"/>
        <v>0</v>
      </c>
      <c r="Q286" s="3">
        <f t="shared" ca="1" si="32"/>
        <v>4912.0600000000004</v>
      </c>
    </row>
    <row r="287" spans="1:17" x14ac:dyDescent="0.25">
      <c r="A287" t="s">
        <v>291</v>
      </c>
      <c r="B287" t="s">
        <v>907</v>
      </c>
      <c r="C287" s="1">
        <v>45696</v>
      </c>
      <c r="D287" s="1">
        <v>45741</v>
      </c>
      <c r="E287">
        <v>6804.92</v>
      </c>
      <c r="F287" t="s">
        <v>912</v>
      </c>
      <c r="G287" t="s">
        <v>916</v>
      </c>
      <c r="I287" t="s">
        <v>919</v>
      </c>
      <c r="J287" t="b">
        <f t="shared" si="28"/>
        <v>1</v>
      </c>
      <c r="K287" s="3">
        <f t="shared" ca="1" si="29"/>
        <v>355</v>
      </c>
      <c r="L287" s="3">
        <f t="shared" ca="1" si="30"/>
        <v>310</v>
      </c>
      <c r="M287" t="str">
        <f t="shared" ca="1" si="31"/>
        <v>Overdue</v>
      </c>
      <c r="N287">
        <f t="shared" si="33"/>
        <v>6804.92</v>
      </c>
      <c r="O287" t="str" cm="1">
        <f t="array" aca="1" ref="O287" ca="1">_xlfn.IFS(
L287&lt;=0,"Not Due",
L287&lt;=30,"0–30 Days",
L287&lt;=60,"31–60 Days",
L287&lt;=90,"61–90 Days",
L287&lt;=180,"91–180 Days",
L287&lt;=365,"181–365 Days",
L287&gt;365,"365+ Days (High Risk)"
)</f>
        <v>181–365 Days</v>
      </c>
      <c r="P287">
        <f t="shared" si="34"/>
        <v>0</v>
      </c>
      <c r="Q287" s="3">
        <f t="shared" ca="1" si="32"/>
        <v>6804.92</v>
      </c>
    </row>
    <row r="288" spans="1:17" x14ac:dyDescent="0.25">
      <c r="A288" t="s">
        <v>292</v>
      </c>
      <c r="B288" t="s">
        <v>909</v>
      </c>
      <c r="C288" s="1">
        <v>45385</v>
      </c>
      <c r="D288" s="1">
        <v>45430</v>
      </c>
      <c r="E288">
        <v>2819.2</v>
      </c>
      <c r="F288" t="s">
        <v>914</v>
      </c>
      <c r="G288" t="s">
        <v>916</v>
      </c>
      <c r="I288" t="s">
        <v>919</v>
      </c>
      <c r="J288" t="b">
        <f t="shared" si="28"/>
        <v>1</v>
      </c>
      <c r="K288" s="3">
        <f t="shared" ca="1" si="29"/>
        <v>666</v>
      </c>
      <c r="L288" s="3">
        <f t="shared" ca="1" si="30"/>
        <v>621</v>
      </c>
      <c r="M288" t="str">
        <f t="shared" ca="1" si="31"/>
        <v>Overdue</v>
      </c>
      <c r="N288">
        <f t="shared" si="33"/>
        <v>2819.2</v>
      </c>
      <c r="O288" t="str" cm="1">
        <f t="array" aca="1" ref="O288" ca="1">_xlfn.IFS(
L288&lt;=0,"Not Due",
L288&lt;=30,"0–30 Days",
L288&lt;=60,"31–60 Days",
L288&lt;=90,"61–90 Days",
L288&lt;=180,"91–180 Days",
L288&lt;=365,"181–365 Days",
L288&gt;365,"365+ Days (High Risk)"
)</f>
        <v>365+ Days (High Risk)</v>
      </c>
      <c r="P288">
        <f t="shared" si="34"/>
        <v>0</v>
      </c>
      <c r="Q288" s="3">
        <f t="shared" ca="1" si="32"/>
        <v>2819.2</v>
      </c>
    </row>
    <row r="289" spans="1:17" x14ac:dyDescent="0.25">
      <c r="A289" t="s">
        <v>293</v>
      </c>
      <c r="B289" t="s">
        <v>906</v>
      </c>
      <c r="C289" s="1">
        <v>45298</v>
      </c>
      <c r="D289" s="1">
        <v>45343</v>
      </c>
      <c r="E289">
        <v>4818.12</v>
      </c>
      <c r="F289" t="s">
        <v>912</v>
      </c>
      <c r="G289" t="s">
        <v>917</v>
      </c>
      <c r="I289" t="s">
        <v>919</v>
      </c>
      <c r="J289" t="b">
        <f t="shared" si="28"/>
        <v>1</v>
      </c>
      <c r="K289" s="3">
        <f t="shared" ca="1" si="29"/>
        <v>753</v>
      </c>
      <c r="L289" s="3">
        <f t="shared" ca="1" si="30"/>
        <v>708</v>
      </c>
      <c r="M289" t="str">
        <f t="shared" ca="1" si="31"/>
        <v>Overdue</v>
      </c>
      <c r="N289">
        <f t="shared" si="33"/>
        <v>4818.12</v>
      </c>
      <c r="O289" t="str" cm="1">
        <f t="array" aca="1" ref="O289" ca="1">_xlfn.IFS(
L289&lt;=0,"Not Due",
L289&lt;=30,"0–30 Days",
L289&lt;=60,"31–60 Days",
L289&lt;=90,"61–90 Days",
L289&lt;=180,"91–180 Days",
L289&lt;=365,"181–365 Days",
L289&gt;365,"365+ Days (High Risk)"
)</f>
        <v>365+ Days (High Risk)</v>
      </c>
      <c r="P289">
        <f t="shared" si="34"/>
        <v>0</v>
      </c>
      <c r="Q289" s="3">
        <f t="shared" ca="1" si="32"/>
        <v>4818.12</v>
      </c>
    </row>
    <row r="290" spans="1:17" x14ac:dyDescent="0.25">
      <c r="A290" t="s">
        <v>294</v>
      </c>
      <c r="B290" t="s">
        <v>908</v>
      </c>
      <c r="C290" s="1">
        <v>45624</v>
      </c>
      <c r="D290" s="1">
        <v>45669</v>
      </c>
      <c r="E290">
        <v>1716.94</v>
      </c>
      <c r="F290" t="s">
        <v>913</v>
      </c>
      <c r="G290" t="s">
        <v>918</v>
      </c>
      <c r="H290" s="1">
        <v>45669</v>
      </c>
      <c r="I290" t="s">
        <v>919</v>
      </c>
      <c r="J290" t="b">
        <f t="shared" si="28"/>
        <v>0</v>
      </c>
      <c r="K290" s="3">
        <f t="shared" ca="1" si="29"/>
        <v>45</v>
      </c>
      <c r="L290" s="3">
        <f t="shared" ca="1" si="30"/>
        <v>0</v>
      </c>
      <c r="M290" t="str">
        <f t="shared" ca="1" si="31"/>
        <v>On Time</v>
      </c>
      <c r="N290">
        <f t="shared" si="33"/>
        <v>0</v>
      </c>
      <c r="O290" t="str" cm="1">
        <f t="array" aca="1" ref="O290" ca="1">_xlfn.IFS(
L290&lt;=0,"Not Due",
L290&lt;=30,"0–30 Days",
L290&lt;=60,"31–60 Days",
L290&lt;=90,"61–90 Days",
L290&lt;=180,"91–180 Days",
L290&lt;=365,"181–365 Days",
L290&gt;365,"365+ Days (High Risk)"
)</f>
        <v>Not Due</v>
      </c>
      <c r="P290">
        <f t="shared" si="34"/>
        <v>1716.94</v>
      </c>
      <c r="Q290" s="3">
        <f t="shared" ca="1" si="32"/>
        <v>0</v>
      </c>
    </row>
    <row r="291" spans="1:17" x14ac:dyDescent="0.25">
      <c r="A291" t="s">
        <v>295</v>
      </c>
      <c r="B291" t="s">
        <v>906</v>
      </c>
      <c r="C291" s="1">
        <v>45585</v>
      </c>
      <c r="D291" s="1">
        <v>45630</v>
      </c>
      <c r="E291">
        <v>6215.27</v>
      </c>
      <c r="F291" t="s">
        <v>914</v>
      </c>
      <c r="G291" t="s">
        <v>916</v>
      </c>
      <c r="I291" t="s">
        <v>919</v>
      </c>
      <c r="J291" t="b">
        <f t="shared" si="28"/>
        <v>1</v>
      </c>
      <c r="K291" s="3">
        <f t="shared" ca="1" si="29"/>
        <v>466</v>
      </c>
      <c r="L291" s="3">
        <f t="shared" ca="1" si="30"/>
        <v>421</v>
      </c>
      <c r="M291" t="str">
        <f t="shared" ca="1" si="31"/>
        <v>Overdue</v>
      </c>
      <c r="N291">
        <f t="shared" si="33"/>
        <v>6215.27</v>
      </c>
      <c r="O291" t="str" cm="1">
        <f t="array" aca="1" ref="O291" ca="1">_xlfn.IFS(
L291&lt;=0,"Not Due",
L291&lt;=30,"0–30 Days",
L291&lt;=60,"31–60 Days",
L291&lt;=90,"61–90 Days",
L291&lt;=180,"91–180 Days",
L291&lt;=365,"181–365 Days",
L291&gt;365,"365+ Days (High Risk)"
)</f>
        <v>365+ Days (High Risk)</v>
      </c>
      <c r="P291">
        <f t="shared" si="34"/>
        <v>0</v>
      </c>
      <c r="Q291" s="3">
        <f t="shared" ca="1" si="32"/>
        <v>6215.27</v>
      </c>
    </row>
    <row r="292" spans="1:17" x14ac:dyDescent="0.25">
      <c r="A292" t="s">
        <v>296</v>
      </c>
      <c r="B292" t="s">
        <v>907</v>
      </c>
      <c r="C292" s="1">
        <v>45687</v>
      </c>
      <c r="D292" s="1">
        <v>45732</v>
      </c>
      <c r="E292">
        <v>772.4</v>
      </c>
      <c r="F292" t="s">
        <v>913</v>
      </c>
      <c r="G292" t="s">
        <v>916</v>
      </c>
      <c r="I292" t="s">
        <v>919</v>
      </c>
      <c r="J292" t="b">
        <f t="shared" si="28"/>
        <v>1</v>
      </c>
      <c r="K292" s="3">
        <f t="shared" ca="1" si="29"/>
        <v>364</v>
      </c>
      <c r="L292" s="3">
        <f t="shared" ca="1" si="30"/>
        <v>319</v>
      </c>
      <c r="M292" t="str">
        <f t="shared" ca="1" si="31"/>
        <v>Overdue</v>
      </c>
      <c r="N292">
        <f t="shared" si="33"/>
        <v>772.4</v>
      </c>
      <c r="O292" t="str" cm="1">
        <f t="array" aca="1" ref="O292" ca="1">_xlfn.IFS(
L292&lt;=0,"Not Due",
L292&lt;=30,"0–30 Days",
L292&lt;=60,"31–60 Days",
L292&lt;=90,"61–90 Days",
L292&lt;=180,"91–180 Days",
L292&lt;=365,"181–365 Days",
L292&gt;365,"365+ Days (High Risk)"
)</f>
        <v>181–365 Days</v>
      </c>
      <c r="P292">
        <f t="shared" si="34"/>
        <v>0</v>
      </c>
      <c r="Q292" s="3">
        <f t="shared" ca="1" si="32"/>
        <v>772.4</v>
      </c>
    </row>
    <row r="293" spans="1:17" x14ac:dyDescent="0.25">
      <c r="A293" t="s">
        <v>297</v>
      </c>
      <c r="B293" t="s">
        <v>907</v>
      </c>
      <c r="C293" s="1">
        <v>45328</v>
      </c>
      <c r="D293" s="1">
        <v>45373</v>
      </c>
      <c r="E293">
        <v>5922.14</v>
      </c>
      <c r="F293" t="s">
        <v>915</v>
      </c>
      <c r="G293" t="s">
        <v>918</v>
      </c>
      <c r="H293" s="1">
        <v>45373</v>
      </c>
      <c r="I293" t="s">
        <v>919</v>
      </c>
      <c r="J293" t="b">
        <f t="shared" si="28"/>
        <v>0</v>
      </c>
      <c r="K293" s="3">
        <f t="shared" ca="1" si="29"/>
        <v>45</v>
      </c>
      <c r="L293" s="3">
        <f t="shared" ca="1" si="30"/>
        <v>0</v>
      </c>
      <c r="M293" t="str">
        <f t="shared" ca="1" si="31"/>
        <v>On Time</v>
      </c>
      <c r="N293">
        <f t="shared" si="33"/>
        <v>0</v>
      </c>
      <c r="O293" t="str" cm="1">
        <f t="array" aca="1" ref="O293" ca="1">_xlfn.IFS(
L293&lt;=0,"Not Due",
L293&lt;=30,"0–30 Days",
L293&lt;=60,"31–60 Days",
L293&lt;=90,"61–90 Days",
L293&lt;=180,"91–180 Days",
L293&lt;=365,"181–365 Days",
L293&gt;365,"365+ Days (High Risk)"
)</f>
        <v>Not Due</v>
      </c>
      <c r="P293">
        <f t="shared" si="34"/>
        <v>5922.14</v>
      </c>
      <c r="Q293" s="3">
        <f t="shared" ca="1" si="32"/>
        <v>0</v>
      </c>
    </row>
    <row r="294" spans="1:17" x14ac:dyDescent="0.25">
      <c r="A294" t="s">
        <v>298</v>
      </c>
      <c r="B294" t="s">
        <v>907</v>
      </c>
      <c r="C294" s="1">
        <v>45798</v>
      </c>
      <c r="D294" s="1">
        <v>45843</v>
      </c>
      <c r="E294">
        <v>844.47</v>
      </c>
      <c r="F294" t="s">
        <v>911</v>
      </c>
      <c r="G294" t="s">
        <v>917</v>
      </c>
      <c r="I294" t="s">
        <v>919</v>
      </c>
      <c r="J294" t="b">
        <f t="shared" si="28"/>
        <v>1</v>
      </c>
      <c r="K294" s="3">
        <f t="shared" ca="1" si="29"/>
        <v>253</v>
      </c>
      <c r="L294" s="3">
        <f t="shared" ca="1" si="30"/>
        <v>208</v>
      </c>
      <c r="M294" t="str">
        <f t="shared" ca="1" si="31"/>
        <v>Overdue</v>
      </c>
      <c r="N294">
        <f t="shared" si="33"/>
        <v>844.47</v>
      </c>
      <c r="O294" t="str" cm="1">
        <f t="array" aca="1" ref="O294" ca="1">_xlfn.IFS(
L294&lt;=0,"Not Due",
L294&lt;=30,"0–30 Days",
L294&lt;=60,"31–60 Days",
L294&lt;=90,"61–90 Days",
L294&lt;=180,"91–180 Days",
L294&lt;=365,"181–365 Days",
L294&gt;365,"365+ Days (High Risk)"
)</f>
        <v>181–365 Days</v>
      </c>
      <c r="P294">
        <f t="shared" si="34"/>
        <v>0</v>
      </c>
      <c r="Q294" s="3">
        <f t="shared" ca="1" si="32"/>
        <v>844.47</v>
      </c>
    </row>
    <row r="295" spans="1:17" x14ac:dyDescent="0.25">
      <c r="A295" t="s">
        <v>299</v>
      </c>
      <c r="B295" t="s">
        <v>908</v>
      </c>
      <c r="C295" s="1">
        <v>45258</v>
      </c>
      <c r="D295" s="1">
        <v>45303</v>
      </c>
      <c r="E295">
        <v>1392.54</v>
      </c>
      <c r="F295" t="s">
        <v>915</v>
      </c>
      <c r="G295" t="s">
        <v>917</v>
      </c>
      <c r="I295" t="s">
        <v>919</v>
      </c>
      <c r="J295" t="b">
        <f t="shared" si="28"/>
        <v>1</v>
      </c>
      <c r="K295" s="3">
        <f t="shared" ca="1" si="29"/>
        <v>793</v>
      </c>
      <c r="L295" s="3">
        <f t="shared" ca="1" si="30"/>
        <v>748</v>
      </c>
      <c r="M295" t="str">
        <f t="shared" ca="1" si="31"/>
        <v>Overdue</v>
      </c>
      <c r="N295">
        <f t="shared" si="33"/>
        <v>1392.54</v>
      </c>
      <c r="O295" t="str" cm="1">
        <f t="array" aca="1" ref="O295" ca="1">_xlfn.IFS(
L295&lt;=0,"Not Due",
L295&lt;=30,"0–30 Days",
L295&lt;=60,"31–60 Days",
L295&lt;=90,"61–90 Days",
L295&lt;=180,"91–180 Days",
L295&lt;=365,"181–365 Days",
L295&gt;365,"365+ Days (High Risk)"
)</f>
        <v>365+ Days (High Risk)</v>
      </c>
      <c r="P295">
        <f t="shared" si="34"/>
        <v>0</v>
      </c>
      <c r="Q295" s="3">
        <f t="shared" ca="1" si="32"/>
        <v>1392.54</v>
      </c>
    </row>
    <row r="296" spans="1:17" x14ac:dyDescent="0.25">
      <c r="A296" t="s">
        <v>300</v>
      </c>
      <c r="B296" t="s">
        <v>910</v>
      </c>
      <c r="C296" s="1">
        <v>45736</v>
      </c>
      <c r="D296" s="1">
        <v>45781</v>
      </c>
      <c r="E296">
        <v>237.27</v>
      </c>
      <c r="F296" t="s">
        <v>912</v>
      </c>
      <c r="G296" t="s">
        <v>918</v>
      </c>
      <c r="H296" s="1">
        <v>45781</v>
      </c>
      <c r="I296" t="s">
        <v>919</v>
      </c>
      <c r="J296" t="b">
        <f t="shared" si="28"/>
        <v>0</v>
      </c>
      <c r="K296" s="3">
        <f t="shared" ca="1" si="29"/>
        <v>45</v>
      </c>
      <c r="L296" s="3">
        <f t="shared" ca="1" si="30"/>
        <v>0</v>
      </c>
      <c r="M296" t="str">
        <f t="shared" ca="1" si="31"/>
        <v>On Time</v>
      </c>
      <c r="N296">
        <f t="shared" si="33"/>
        <v>0</v>
      </c>
      <c r="O296" t="str" cm="1">
        <f t="array" aca="1" ref="O296" ca="1">_xlfn.IFS(
L296&lt;=0,"Not Due",
L296&lt;=30,"0–30 Days",
L296&lt;=60,"31–60 Days",
L296&lt;=90,"61–90 Days",
L296&lt;=180,"91–180 Days",
L296&lt;=365,"181–365 Days",
L296&gt;365,"365+ Days (High Risk)"
)</f>
        <v>Not Due</v>
      </c>
      <c r="P296">
        <f t="shared" si="34"/>
        <v>237.27</v>
      </c>
      <c r="Q296" s="3">
        <f t="shared" ca="1" si="32"/>
        <v>0</v>
      </c>
    </row>
    <row r="297" spans="1:17" x14ac:dyDescent="0.25">
      <c r="A297" t="s">
        <v>301</v>
      </c>
      <c r="B297" t="s">
        <v>908</v>
      </c>
      <c r="C297" s="1">
        <v>45335</v>
      </c>
      <c r="D297" s="1">
        <v>45380</v>
      </c>
      <c r="E297">
        <v>2944.07</v>
      </c>
      <c r="F297" t="s">
        <v>914</v>
      </c>
      <c r="G297" t="s">
        <v>916</v>
      </c>
      <c r="I297" t="s">
        <v>919</v>
      </c>
      <c r="J297" t="b">
        <f t="shared" si="28"/>
        <v>1</v>
      </c>
      <c r="K297" s="3">
        <f t="shared" ca="1" si="29"/>
        <v>716</v>
      </c>
      <c r="L297" s="3">
        <f t="shared" ca="1" si="30"/>
        <v>671</v>
      </c>
      <c r="M297" t="str">
        <f t="shared" ca="1" si="31"/>
        <v>Overdue</v>
      </c>
      <c r="N297">
        <f t="shared" si="33"/>
        <v>2944.07</v>
      </c>
      <c r="O297" t="str" cm="1">
        <f t="array" aca="1" ref="O297" ca="1">_xlfn.IFS(
L297&lt;=0,"Not Due",
L297&lt;=30,"0–30 Days",
L297&lt;=60,"31–60 Days",
L297&lt;=90,"61–90 Days",
L297&lt;=180,"91–180 Days",
L297&lt;=365,"181–365 Days",
L297&gt;365,"365+ Days (High Risk)"
)</f>
        <v>365+ Days (High Risk)</v>
      </c>
      <c r="P297">
        <f t="shared" si="34"/>
        <v>0</v>
      </c>
      <c r="Q297" s="3">
        <f t="shared" ca="1" si="32"/>
        <v>2944.07</v>
      </c>
    </row>
    <row r="298" spans="1:17" x14ac:dyDescent="0.25">
      <c r="A298" t="s">
        <v>302</v>
      </c>
      <c r="B298" t="s">
        <v>906</v>
      </c>
      <c r="C298" s="1">
        <v>45171</v>
      </c>
      <c r="D298" s="1">
        <v>45216</v>
      </c>
      <c r="E298">
        <v>6013.51</v>
      </c>
      <c r="F298" t="s">
        <v>914</v>
      </c>
      <c r="G298" t="s">
        <v>917</v>
      </c>
      <c r="I298" t="s">
        <v>919</v>
      </c>
      <c r="J298" t="b">
        <f t="shared" si="28"/>
        <v>1</v>
      </c>
      <c r="K298" s="3">
        <f t="shared" ca="1" si="29"/>
        <v>880</v>
      </c>
      <c r="L298" s="3">
        <f t="shared" ca="1" si="30"/>
        <v>835</v>
      </c>
      <c r="M298" t="str">
        <f t="shared" ca="1" si="31"/>
        <v>Overdue</v>
      </c>
      <c r="N298">
        <f t="shared" si="33"/>
        <v>6013.51</v>
      </c>
      <c r="O298" t="str" cm="1">
        <f t="array" aca="1" ref="O298" ca="1">_xlfn.IFS(
L298&lt;=0,"Not Due",
L298&lt;=30,"0–30 Days",
L298&lt;=60,"31–60 Days",
L298&lt;=90,"61–90 Days",
L298&lt;=180,"91–180 Days",
L298&lt;=365,"181–365 Days",
L298&gt;365,"365+ Days (High Risk)"
)</f>
        <v>365+ Days (High Risk)</v>
      </c>
      <c r="P298">
        <f t="shared" si="34"/>
        <v>0</v>
      </c>
      <c r="Q298" s="3">
        <f t="shared" ca="1" si="32"/>
        <v>6013.51</v>
      </c>
    </row>
    <row r="299" spans="1:17" x14ac:dyDescent="0.25">
      <c r="A299" t="s">
        <v>303</v>
      </c>
      <c r="B299" t="s">
        <v>910</v>
      </c>
      <c r="C299" s="1">
        <v>44962</v>
      </c>
      <c r="D299" s="1">
        <v>45007</v>
      </c>
      <c r="E299">
        <v>1766.81</v>
      </c>
      <c r="F299" t="s">
        <v>911</v>
      </c>
      <c r="G299" t="s">
        <v>916</v>
      </c>
      <c r="I299" t="s">
        <v>919</v>
      </c>
      <c r="J299" t="b">
        <f t="shared" si="28"/>
        <v>1</v>
      </c>
      <c r="K299" s="3">
        <f t="shared" ca="1" si="29"/>
        <v>1089</v>
      </c>
      <c r="L299" s="3">
        <f t="shared" ca="1" si="30"/>
        <v>1044</v>
      </c>
      <c r="M299" t="str">
        <f t="shared" ca="1" si="31"/>
        <v>Overdue</v>
      </c>
      <c r="N299">
        <f t="shared" si="33"/>
        <v>1766.81</v>
      </c>
      <c r="O299" t="str" cm="1">
        <f t="array" aca="1" ref="O299" ca="1">_xlfn.IFS(
L299&lt;=0,"Not Due",
L299&lt;=30,"0–30 Days",
L299&lt;=60,"31–60 Days",
L299&lt;=90,"61–90 Days",
L299&lt;=180,"91–180 Days",
L299&lt;=365,"181–365 Days",
L299&gt;365,"365+ Days (High Risk)"
)</f>
        <v>365+ Days (High Risk)</v>
      </c>
      <c r="P299">
        <f t="shared" si="34"/>
        <v>0</v>
      </c>
      <c r="Q299" s="3">
        <f t="shared" ca="1" si="32"/>
        <v>1766.81</v>
      </c>
    </row>
    <row r="300" spans="1:17" x14ac:dyDescent="0.25">
      <c r="A300" t="s">
        <v>304</v>
      </c>
      <c r="B300" t="s">
        <v>907</v>
      </c>
      <c r="C300" s="1">
        <v>45278</v>
      </c>
      <c r="D300" s="1">
        <v>45323</v>
      </c>
      <c r="E300">
        <v>5288.72</v>
      </c>
      <c r="F300" t="s">
        <v>911</v>
      </c>
      <c r="G300" t="s">
        <v>916</v>
      </c>
      <c r="I300" t="s">
        <v>919</v>
      </c>
      <c r="J300" t="b">
        <f t="shared" si="28"/>
        <v>1</v>
      </c>
      <c r="K300" s="3">
        <f t="shared" ca="1" si="29"/>
        <v>773</v>
      </c>
      <c r="L300" s="3">
        <f t="shared" ca="1" si="30"/>
        <v>728</v>
      </c>
      <c r="M300" t="str">
        <f t="shared" ca="1" si="31"/>
        <v>Overdue</v>
      </c>
      <c r="N300">
        <f t="shared" si="33"/>
        <v>5288.72</v>
      </c>
      <c r="O300" t="str" cm="1">
        <f t="array" aca="1" ref="O300" ca="1">_xlfn.IFS(
L300&lt;=0,"Not Due",
L300&lt;=30,"0–30 Days",
L300&lt;=60,"31–60 Days",
L300&lt;=90,"61–90 Days",
L300&lt;=180,"91–180 Days",
L300&lt;=365,"181–365 Days",
L300&gt;365,"365+ Days (High Risk)"
)</f>
        <v>365+ Days (High Risk)</v>
      </c>
      <c r="P300">
        <f t="shared" si="34"/>
        <v>0</v>
      </c>
      <c r="Q300" s="3">
        <f t="shared" ca="1" si="32"/>
        <v>5288.72</v>
      </c>
    </row>
    <row r="301" spans="1:17" x14ac:dyDescent="0.25">
      <c r="A301" t="s">
        <v>305</v>
      </c>
      <c r="B301" t="s">
        <v>906</v>
      </c>
      <c r="C301" s="1">
        <v>45542</v>
      </c>
      <c r="D301" s="1">
        <v>45587</v>
      </c>
      <c r="E301">
        <v>487.55</v>
      </c>
      <c r="F301" t="s">
        <v>914</v>
      </c>
      <c r="G301" t="s">
        <v>917</v>
      </c>
      <c r="I301" t="s">
        <v>919</v>
      </c>
      <c r="J301" t="b">
        <f t="shared" si="28"/>
        <v>1</v>
      </c>
      <c r="K301" s="3">
        <f t="shared" ca="1" si="29"/>
        <v>509</v>
      </c>
      <c r="L301" s="3">
        <f t="shared" ca="1" si="30"/>
        <v>464</v>
      </c>
      <c r="M301" t="str">
        <f t="shared" ca="1" si="31"/>
        <v>Overdue</v>
      </c>
      <c r="N301">
        <f t="shared" si="33"/>
        <v>487.55</v>
      </c>
      <c r="O301" t="str" cm="1">
        <f t="array" aca="1" ref="O301" ca="1">_xlfn.IFS(
L301&lt;=0,"Not Due",
L301&lt;=30,"0–30 Days",
L301&lt;=60,"31–60 Days",
L301&lt;=90,"61–90 Days",
L301&lt;=180,"91–180 Days",
L301&lt;=365,"181–365 Days",
L301&gt;365,"365+ Days (High Risk)"
)</f>
        <v>365+ Days (High Risk)</v>
      </c>
      <c r="P301">
        <f t="shared" si="34"/>
        <v>0</v>
      </c>
      <c r="Q301" s="3">
        <f t="shared" ca="1" si="32"/>
        <v>487.55</v>
      </c>
    </row>
    <row r="302" spans="1:17" x14ac:dyDescent="0.25">
      <c r="A302" t="s">
        <v>306</v>
      </c>
      <c r="B302" t="s">
        <v>906</v>
      </c>
      <c r="C302" s="1">
        <v>45244</v>
      </c>
      <c r="D302" s="1">
        <v>45289</v>
      </c>
      <c r="E302">
        <v>1910.38</v>
      </c>
      <c r="F302" t="s">
        <v>915</v>
      </c>
      <c r="G302" t="s">
        <v>916</v>
      </c>
      <c r="I302" t="s">
        <v>919</v>
      </c>
      <c r="J302" t="b">
        <f t="shared" si="28"/>
        <v>1</v>
      </c>
      <c r="K302" s="3">
        <f t="shared" ca="1" si="29"/>
        <v>807</v>
      </c>
      <c r="L302" s="3">
        <f t="shared" ca="1" si="30"/>
        <v>762</v>
      </c>
      <c r="M302" t="str">
        <f t="shared" ca="1" si="31"/>
        <v>Overdue</v>
      </c>
      <c r="N302">
        <f t="shared" si="33"/>
        <v>1910.38</v>
      </c>
      <c r="O302" t="str" cm="1">
        <f t="array" aca="1" ref="O302" ca="1">_xlfn.IFS(
L302&lt;=0,"Not Due",
L302&lt;=30,"0–30 Days",
L302&lt;=60,"31–60 Days",
L302&lt;=90,"61–90 Days",
L302&lt;=180,"91–180 Days",
L302&lt;=365,"181–365 Days",
L302&gt;365,"365+ Days (High Risk)"
)</f>
        <v>365+ Days (High Risk)</v>
      </c>
      <c r="P302">
        <f t="shared" si="34"/>
        <v>0</v>
      </c>
      <c r="Q302" s="3">
        <f t="shared" ca="1" si="32"/>
        <v>1910.38</v>
      </c>
    </row>
    <row r="303" spans="1:17" x14ac:dyDescent="0.25">
      <c r="A303" t="s">
        <v>307</v>
      </c>
      <c r="B303" t="s">
        <v>906</v>
      </c>
      <c r="C303" s="1">
        <v>45266</v>
      </c>
      <c r="D303" s="1">
        <v>45311</v>
      </c>
      <c r="E303">
        <v>4958.76</v>
      </c>
      <c r="F303" t="s">
        <v>912</v>
      </c>
      <c r="G303" t="s">
        <v>918</v>
      </c>
      <c r="H303" s="1">
        <v>45311</v>
      </c>
      <c r="I303" t="s">
        <v>919</v>
      </c>
      <c r="J303" t="b">
        <f t="shared" si="28"/>
        <v>0</v>
      </c>
      <c r="K303" s="3">
        <f t="shared" ca="1" si="29"/>
        <v>45</v>
      </c>
      <c r="L303" s="3">
        <f t="shared" ca="1" si="30"/>
        <v>0</v>
      </c>
      <c r="M303" t="str">
        <f t="shared" ca="1" si="31"/>
        <v>On Time</v>
      </c>
      <c r="N303">
        <f t="shared" si="33"/>
        <v>0</v>
      </c>
      <c r="O303" t="str" cm="1">
        <f t="array" aca="1" ref="O303" ca="1">_xlfn.IFS(
L303&lt;=0,"Not Due",
L303&lt;=30,"0–30 Days",
L303&lt;=60,"31–60 Days",
L303&lt;=90,"61–90 Days",
L303&lt;=180,"91–180 Days",
L303&lt;=365,"181–365 Days",
L303&gt;365,"365+ Days (High Risk)"
)</f>
        <v>Not Due</v>
      </c>
      <c r="P303">
        <f t="shared" si="34"/>
        <v>4958.76</v>
      </c>
      <c r="Q303" s="3">
        <f t="shared" ca="1" si="32"/>
        <v>0</v>
      </c>
    </row>
    <row r="304" spans="1:17" x14ac:dyDescent="0.25">
      <c r="A304" t="s">
        <v>308</v>
      </c>
      <c r="B304" t="s">
        <v>910</v>
      </c>
      <c r="C304" s="1">
        <v>45516</v>
      </c>
      <c r="D304" s="1">
        <v>45561</v>
      </c>
      <c r="E304">
        <v>6586.64</v>
      </c>
      <c r="F304" t="s">
        <v>911</v>
      </c>
      <c r="G304" t="s">
        <v>917</v>
      </c>
      <c r="I304" t="s">
        <v>919</v>
      </c>
      <c r="J304" t="b">
        <f t="shared" si="28"/>
        <v>1</v>
      </c>
      <c r="K304" s="3">
        <f t="shared" ca="1" si="29"/>
        <v>535</v>
      </c>
      <c r="L304" s="3">
        <f t="shared" ca="1" si="30"/>
        <v>490</v>
      </c>
      <c r="M304" t="str">
        <f t="shared" ca="1" si="31"/>
        <v>Overdue</v>
      </c>
      <c r="N304">
        <f t="shared" si="33"/>
        <v>6586.64</v>
      </c>
      <c r="O304" t="str" cm="1">
        <f t="array" aca="1" ref="O304" ca="1">_xlfn.IFS(
L304&lt;=0,"Not Due",
L304&lt;=30,"0–30 Days",
L304&lt;=60,"31–60 Days",
L304&lt;=90,"61–90 Days",
L304&lt;=180,"91–180 Days",
L304&lt;=365,"181–365 Days",
L304&gt;365,"365+ Days (High Risk)"
)</f>
        <v>365+ Days (High Risk)</v>
      </c>
      <c r="P304">
        <f t="shared" si="34"/>
        <v>0</v>
      </c>
      <c r="Q304" s="3">
        <f t="shared" ca="1" si="32"/>
        <v>6586.64</v>
      </c>
    </row>
    <row r="305" spans="1:17" x14ac:dyDescent="0.25">
      <c r="A305" t="s">
        <v>309</v>
      </c>
      <c r="B305" t="s">
        <v>907</v>
      </c>
      <c r="C305" s="1">
        <v>45604</v>
      </c>
      <c r="D305" s="1">
        <v>45649</v>
      </c>
      <c r="E305">
        <v>7977.51</v>
      </c>
      <c r="F305" t="s">
        <v>911</v>
      </c>
      <c r="G305" t="s">
        <v>918</v>
      </c>
      <c r="H305" s="1">
        <v>45649</v>
      </c>
      <c r="I305" t="s">
        <v>919</v>
      </c>
      <c r="J305" t="b">
        <f t="shared" si="28"/>
        <v>0</v>
      </c>
      <c r="K305" s="3">
        <f t="shared" ca="1" si="29"/>
        <v>45</v>
      </c>
      <c r="L305" s="3">
        <f t="shared" ca="1" si="30"/>
        <v>0</v>
      </c>
      <c r="M305" t="str">
        <f t="shared" ca="1" si="31"/>
        <v>On Time</v>
      </c>
      <c r="N305">
        <f t="shared" si="33"/>
        <v>0</v>
      </c>
      <c r="O305" t="str" cm="1">
        <f t="array" aca="1" ref="O305" ca="1">_xlfn.IFS(
L305&lt;=0,"Not Due",
L305&lt;=30,"0–30 Days",
L305&lt;=60,"31–60 Days",
L305&lt;=90,"61–90 Days",
L305&lt;=180,"91–180 Days",
L305&lt;=365,"181–365 Days",
L305&gt;365,"365+ Days (High Risk)"
)</f>
        <v>Not Due</v>
      </c>
      <c r="P305">
        <f t="shared" si="34"/>
        <v>7977.51</v>
      </c>
      <c r="Q305" s="3">
        <f t="shared" ca="1" si="32"/>
        <v>0</v>
      </c>
    </row>
    <row r="306" spans="1:17" x14ac:dyDescent="0.25">
      <c r="A306" t="s">
        <v>310</v>
      </c>
      <c r="B306" t="s">
        <v>909</v>
      </c>
      <c r="C306" s="1">
        <v>44973</v>
      </c>
      <c r="D306" s="1">
        <v>45018</v>
      </c>
      <c r="E306">
        <v>1308.93</v>
      </c>
      <c r="F306" t="s">
        <v>914</v>
      </c>
      <c r="G306" t="s">
        <v>916</v>
      </c>
      <c r="I306" t="s">
        <v>919</v>
      </c>
      <c r="J306" t="b">
        <f t="shared" si="28"/>
        <v>1</v>
      </c>
      <c r="K306" s="3">
        <f t="shared" ca="1" si="29"/>
        <v>1078</v>
      </c>
      <c r="L306" s="3">
        <f t="shared" ca="1" si="30"/>
        <v>1033</v>
      </c>
      <c r="M306" t="str">
        <f t="shared" ca="1" si="31"/>
        <v>Overdue</v>
      </c>
      <c r="N306">
        <f t="shared" si="33"/>
        <v>1308.93</v>
      </c>
      <c r="O306" t="str" cm="1">
        <f t="array" aca="1" ref="O306" ca="1">_xlfn.IFS(
L306&lt;=0,"Not Due",
L306&lt;=30,"0–30 Days",
L306&lt;=60,"31–60 Days",
L306&lt;=90,"61–90 Days",
L306&lt;=180,"91–180 Days",
L306&lt;=365,"181–365 Days",
L306&gt;365,"365+ Days (High Risk)"
)</f>
        <v>365+ Days (High Risk)</v>
      </c>
      <c r="P306">
        <f t="shared" si="34"/>
        <v>0</v>
      </c>
      <c r="Q306" s="3">
        <f t="shared" ca="1" si="32"/>
        <v>1308.93</v>
      </c>
    </row>
    <row r="307" spans="1:17" x14ac:dyDescent="0.25">
      <c r="A307" t="s">
        <v>311</v>
      </c>
      <c r="B307" t="s">
        <v>908</v>
      </c>
      <c r="C307" s="1">
        <v>45781</v>
      </c>
      <c r="D307" s="1">
        <v>45826</v>
      </c>
      <c r="E307">
        <v>3082.75</v>
      </c>
      <c r="F307" t="s">
        <v>913</v>
      </c>
      <c r="G307" t="s">
        <v>917</v>
      </c>
      <c r="I307" t="s">
        <v>919</v>
      </c>
      <c r="J307" t="b">
        <f t="shared" si="28"/>
        <v>1</v>
      </c>
      <c r="K307" s="3">
        <f t="shared" ca="1" si="29"/>
        <v>270</v>
      </c>
      <c r="L307" s="3">
        <f t="shared" ca="1" si="30"/>
        <v>225</v>
      </c>
      <c r="M307" t="str">
        <f t="shared" ca="1" si="31"/>
        <v>Overdue</v>
      </c>
      <c r="N307">
        <f t="shared" si="33"/>
        <v>3082.75</v>
      </c>
      <c r="O307" t="str" cm="1">
        <f t="array" aca="1" ref="O307" ca="1">_xlfn.IFS(
L307&lt;=0,"Not Due",
L307&lt;=30,"0–30 Days",
L307&lt;=60,"31–60 Days",
L307&lt;=90,"61–90 Days",
L307&lt;=180,"91–180 Days",
L307&lt;=365,"181–365 Days",
L307&gt;365,"365+ Days (High Risk)"
)</f>
        <v>181–365 Days</v>
      </c>
      <c r="P307">
        <f t="shared" si="34"/>
        <v>0</v>
      </c>
      <c r="Q307" s="3">
        <f t="shared" ca="1" si="32"/>
        <v>3082.75</v>
      </c>
    </row>
    <row r="308" spans="1:17" x14ac:dyDescent="0.25">
      <c r="A308" t="s">
        <v>312</v>
      </c>
      <c r="B308" t="s">
        <v>910</v>
      </c>
      <c r="C308" s="1">
        <v>45448</v>
      </c>
      <c r="D308" s="1">
        <v>45493</v>
      </c>
      <c r="E308">
        <v>4200.74</v>
      </c>
      <c r="F308" t="s">
        <v>911</v>
      </c>
      <c r="G308" t="s">
        <v>918</v>
      </c>
      <c r="H308" s="1">
        <v>45493</v>
      </c>
      <c r="I308" t="s">
        <v>919</v>
      </c>
      <c r="J308" t="b">
        <f t="shared" si="28"/>
        <v>0</v>
      </c>
      <c r="K308" s="3">
        <f t="shared" ca="1" si="29"/>
        <v>45</v>
      </c>
      <c r="L308" s="3">
        <f t="shared" ca="1" si="30"/>
        <v>0</v>
      </c>
      <c r="M308" t="str">
        <f t="shared" ca="1" si="31"/>
        <v>On Time</v>
      </c>
      <c r="N308">
        <f t="shared" si="33"/>
        <v>0</v>
      </c>
      <c r="O308" t="str" cm="1">
        <f t="array" aca="1" ref="O308" ca="1">_xlfn.IFS(
L308&lt;=0,"Not Due",
L308&lt;=30,"0–30 Days",
L308&lt;=60,"31–60 Days",
L308&lt;=90,"61–90 Days",
L308&lt;=180,"91–180 Days",
L308&lt;=365,"181–365 Days",
L308&gt;365,"365+ Days (High Risk)"
)</f>
        <v>Not Due</v>
      </c>
      <c r="P308">
        <f t="shared" si="34"/>
        <v>4200.74</v>
      </c>
      <c r="Q308" s="3">
        <f t="shared" ca="1" si="32"/>
        <v>0</v>
      </c>
    </row>
    <row r="309" spans="1:17" x14ac:dyDescent="0.25">
      <c r="A309" t="s">
        <v>313</v>
      </c>
      <c r="B309" t="s">
        <v>906</v>
      </c>
      <c r="C309" s="1">
        <v>45821</v>
      </c>
      <c r="D309" s="1">
        <v>45866</v>
      </c>
      <c r="E309">
        <v>612.58000000000004</v>
      </c>
      <c r="F309" t="s">
        <v>914</v>
      </c>
      <c r="G309" t="s">
        <v>916</v>
      </c>
      <c r="I309" t="s">
        <v>919</v>
      </c>
      <c r="J309" t="b">
        <f t="shared" si="28"/>
        <v>1</v>
      </c>
      <c r="K309" s="3">
        <f t="shared" ca="1" si="29"/>
        <v>230</v>
      </c>
      <c r="L309" s="3">
        <f t="shared" ca="1" si="30"/>
        <v>185</v>
      </c>
      <c r="M309" t="str">
        <f t="shared" ca="1" si="31"/>
        <v>Overdue</v>
      </c>
      <c r="N309">
        <f t="shared" si="33"/>
        <v>612.58000000000004</v>
      </c>
      <c r="O309" t="str" cm="1">
        <f t="array" aca="1" ref="O309" ca="1">_xlfn.IFS(
L309&lt;=0,"Not Due",
L309&lt;=30,"0–30 Days",
L309&lt;=60,"31–60 Days",
L309&lt;=90,"61–90 Days",
L309&lt;=180,"91–180 Days",
L309&lt;=365,"181–365 Days",
L309&gt;365,"365+ Days (High Risk)"
)</f>
        <v>181–365 Days</v>
      </c>
      <c r="P309">
        <f t="shared" si="34"/>
        <v>0</v>
      </c>
      <c r="Q309" s="3">
        <f t="shared" ca="1" si="32"/>
        <v>612.58000000000004</v>
      </c>
    </row>
    <row r="310" spans="1:17" x14ac:dyDescent="0.25">
      <c r="A310" t="s">
        <v>314</v>
      </c>
      <c r="B310" t="s">
        <v>909</v>
      </c>
      <c r="C310" s="1">
        <v>45646</v>
      </c>
      <c r="D310" s="1">
        <v>45691</v>
      </c>
      <c r="E310">
        <v>6586.08</v>
      </c>
      <c r="F310" t="s">
        <v>915</v>
      </c>
      <c r="G310" t="s">
        <v>917</v>
      </c>
      <c r="I310" t="s">
        <v>919</v>
      </c>
      <c r="J310" t="b">
        <f t="shared" si="28"/>
        <v>1</v>
      </c>
      <c r="K310" s="3">
        <f t="shared" ca="1" si="29"/>
        <v>405</v>
      </c>
      <c r="L310" s="3">
        <f t="shared" ca="1" si="30"/>
        <v>360</v>
      </c>
      <c r="M310" t="str">
        <f t="shared" ca="1" si="31"/>
        <v>Overdue</v>
      </c>
      <c r="N310">
        <f t="shared" si="33"/>
        <v>6586.08</v>
      </c>
      <c r="O310" t="str" cm="1">
        <f t="array" aca="1" ref="O310" ca="1">_xlfn.IFS(
L310&lt;=0,"Not Due",
L310&lt;=30,"0–30 Days",
L310&lt;=60,"31–60 Days",
L310&lt;=90,"61–90 Days",
L310&lt;=180,"91–180 Days",
L310&lt;=365,"181–365 Days",
L310&gt;365,"365+ Days (High Risk)"
)</f>
        <v>181–365 Days</v>
      </c>
      <c r="P310">
        <f t="shared" si="34"/>
        <v>0</v>
      </c>
      <c r="Q310" s="3">
        <f t="shared" ca="1" si="32"/>
        <v>6586.08</v>
      </c>
    </row>
    <row r="311" spans="1:17" x14ac:dyDescent="0.25">
      <c r="A311" t="s">
        <v>315</v>
      </c>
      <c r="B311" t="s">
        <v>907</v>
      </c>
      <c r="C311" s="1">
        <v>45212</v>
      </c>
      <c r="D311" s="1">
        <v>45257</v>
      </c>
      <c r="E311">
        <v>7135.58</v>
      </c>
      <c r="F311" t="s">
        <v>913</v>
      </c>
      <c r="G311" t="s">
        <v>917</v>
      </c>
      <c r="I311" t="s">
        <v>919</v>
      </c>
      <c r="J311" t="b">
        <f t="shared" si="28"/>
        <v>1</v>
      </c>
      <c r="K311" s="3">
        <f t="shared" ca="1" si="29"/>
        <v>839</v>
      </c>
      <c r="L311" s="3">
        <f t="shared" ca="1" si="30"/>
        <v>794</v>
      </c>
      <c r="M311" t="str">
        <f t="shared" ca="1" si="31"/>
        <v>Overdue</v>
      </c>
      <c r="N311">
        <f t="shared" si="33"/>
        <v>7135.58</v>
      </c>
      <c r="O311" t="str" cm="1">
        <f t="array" aca="1" ref="O311" ca="1">_xlfn.IFS(
L311&lt;=0,"Not Due",
L311&lt;=30,"0–30 Days",
L311&lt;=60,"31–60 Days",
L311&lt;=90,"61–90 Days",
L311&lt;=180,"91–180 Days",
L311&lt;=365,"181–365 Days",
L311&gt;365,"365+ Days (High Risk)"
)</f>
        <v>365+ Days (High Risk)</v>
      </c>
      <c r="P311">
        <f t="shared" si="34"/>
        <v>0</v>
      </c>
      <c r="Q311" s="3">
        <f t="shared" ca="1" si="32"/>
        <v>7135.58</v>
      </c>
    </row>
    <row r="312" spans="1:17" x14ac:dyDescent="0.25">
      <c r="A312" t="s">
        <v>316</v>
      </c>
      <c r="B312" t="s">
        <v>909</v>
      </c>
      <c r="C312" s="1">
        <v>45611</v>
      </c>
      <c r="D312" s="1">
        <v>45656</v>
      </c>
      <c r="E312">
        <v>3310.59</v>
      </c>
      <c r="F312" t="s">
        <v>915</v>
      </c>
      <c r="G312" t="s">
        <v>917</v>
      </c>
      <c r="I312" t="s">
        <v>919</v>
      </c>
      <c r="J312" t="b">
        <f t="shared" si="28"/>
        <v>1</v>
      </c>
      <c r="K312" s="3">
        <f t="shared" ca="1" si="29"/>
        <v>440</v>
      </c>
      <c r="L312" s="3">
        <f t="shared" ca="1" si="30"/>
        <v>395</v>
      </c>
      <c r="M312" t="str">
        <f t="shared" ca="1" si="31"/>
        <v>Overdue</v>
      </c>
      <c r="N312">
        <f t="shared" si="33"/>
        <v>3310.59</v>
      </c>
      <c r="O312" t="str" cm="1">
        <f t="array" aca="1" ref="O312" ca="1">_xlfn.IFS(
L312&lt;=0,"Not Due",
L312&lt;=30,"0–30 Days",
L312&lt;=60,"31–60 Days",
L312&lt;=90,"61–90 Days",
L312&lt;=180,"91–180 Days",
L312&lt;=365,"181–365 Days",
L312&gt;365,"365+ Days (High Risk)"
)</f>
        <v>365+ Days (High Risk)</v>
      </c>
      <c r="P312">
        <f t="shared" si="34"/>
        <v>0</v>
      </c>
      <c r="Q312" s="3">
        <f t="shared" ca="1" si="32"/>
        <v>3310.59</v>
      </c>
    </row>
    <row r="313" spans="1:17" x14ac:dyDescent="0.25">
      <c r="A313" t="s">
        <v>317</v>
      </c>
      <c r="B313" t="s">
        <v>910</v>
      </c>
      <c r="C313" s="1">
        <v>45813</v>
      </c>
      <c r="D313" s="1">
        <v>45858</v>
      </c>
      <c r="E313">
        <v>6859.56</v>
      </c>
      <c r="F313" t="s">
        <v>911</v>
      </c>
      <c r="G313" t="s">
        <v>916</v>
      </c>
      <c r="I313" t="s">
        <v>919</v>
      </c>
      <c r="J313" t="b">
        <f t="shared" si="28"/>
        <v>1</v>
      </c>
      <c r="K313" s="3">
        <f t="shared" ca="1" si="29"/>
        <v>238</v>
      </c>
      <c r="L313" s="3">
        <f t="shared" ca="1" si="30"/>
        <v>193</v>
      </c>
      <c r="M313" t="str">
        <f t="shared" ca="1" si="31"/>
        <v>Overdue</v>
      </c>
      <c r="N313">
        <f t="shared" si="33"/>
        <v>6859.56</v>
      </c>
      <c r="O313" t="str" cm="1">
        <f t="array" aca="1" ref="O313" ca="1">_xlfn.IFS(
L313&lt;=0,"Not Due",
L313&lt;=30,"0–30 Days",
L313&lt;=60,"31–60 Days",
L313&lt;=90,"61–90 Days",
L313&lt;=180,"91–180 Days",
L313&lt;=365,"181–365 Days",
L313&gt;365,"365+ Days (High Risk)"
)</f>
        <v>181–365 Days</v>
      </c>
      <c r="P313">
        <f t="shared" si="34"/>
        <v>0</v>
      </c>
      <c r="Q313" s="3">
        <f t="shared" ca="1" si="32"/>
        <v>6859.56</v>
      </c>
    </row>
    <row r="314" spans="1:17" x14ac:dyDescent="0.25">
      <c r="A314" t="s">
        <v>318</v>
      </c>
      <c r="B314" t="s">
        <v>908</v>
      </c>
      <c r="C314" s="1">
        <v>45278</v>
      </c>
      <c r="D314" s="1">
        <v>45323</v>
      </c>
      <c r="E314">
        <v>1915.49</v>
      </c>
      <c r="F314" t="s">
        <v>914</v>
      </c>
      <c r="G314" t="s">
        <v>918</v>
      </c>
      <c r="H314" s="1">
        <v>45323</v>
      </c>
      <c r="I314" t="s">
        <v>919</v>
      </c>
      <c r="J314" t="b">
        <f t="shared" si="28"/>
        <v>0</v>
      </c>
      <c r="K314" s="3">
        <f t="shared" ca="1" si="29"/>
        <v>45</v>
      </c>
      <c r="L314" s="3">
        <f t="shared" ca="1" si="30"/>
        <v>0</v>
      </c>
      <c r="M314" t="str">
        <f t="shared" ca="1" si="31"/>
        <v>On Time</v>
      </c>
      <c r="N314">
        <f t="shared" si="33"/>
        <v>0</v>
      </c>
      <c r="O314" t="str" cm="1">
        <f t="array" aca="1" ref="O314" ca="1">_xlfn.IFS(
L314&lt;=0,"Not Due",
L314&lt;=30,"0–30 Days",
L314&lt;=60,"31–60 Days",
L314&lt;=90,"61–90 Days",
L314&lt;=180,"91–180 Days",
L314&lt;=365,"181–365 Days",
L314&gt;365,"365+ Days (High Risk)"
)</f>
        <v>Not Due</v>
      </c>
      <c r="P314">
        <f t="shared" si="34"/>
        <v>1915.49</v>
      </c>
      <c r="Q314" s="3">
        <f t="shared" ca="1" si="32"/>
        <v>0</v>
      </c>
    </row>
    <row r="315" spans="1:17" x14ac:dyDescent="0.25">
      <c r="A315" t="s">
        <v>319</v>
      </c>
      <c r="B315" t="s">
        <v>910</v>
      </c>
      <c r="C315" s="1">
        <v>44956</v>
      </c>
      <c r="D315" s="1">
        <v>45001</v>
      </c>
      <c r="E315">
        <v>3592.64</v>
      </c>
      <c r="F315" t="s">
        <v>913</v>
      </c>
      <c r="G315" t="s">
        <v>918</v>
      </c>
      <c r="H315" s="1">
        <v>45001</v>
      </c>
      <c r="I315" t="s">
        <v>919</v>
      </c>
      <c r="J315" t="b">
        <f t="shared" si="28"/>
        <v>0</v>
      </c>
      <c r="K315" s="3">
        <f t="shared" ca="1" si="29"/>
        <v>45</v>
      </c>
      <c r="L315" s="3">
        <f t="shared" ca="1" si="30"/>
        <v>0</v>
      </c>
      <c r="M315" t="str">
        <f t="shared" ca="1" si="31"/>
        <v>On Time</v>
      </c>
      <c r="N315">
        <f t="shared" si="33"/>
        <v>0</v>
      </c>
      <c r="O315" t="str" cm="1">
        <f t="array" aca="1" ref="O315" ca="1">_xlfn.IFS(
L315&lt;=0,"Not Due",
L315&lt;=30,"0–30 Days",
L315&lt;=60,"31–60 Days",
L315&lt;=90,"61–90 Days",
L315&lt;=180,"91–180 Days",
L315&lt;=365,"181–365 Days",
L315&gt;365,"365+ Days (High Risk)"
)</f>
        <v>Not Due</v>
      </c>
      <c r="P315">
        <f t="shared" si="34"/>
        <v>3592.64</v>
      </c>
      <c r="Q315" s="3">
        <f t="shared" ca="1" si="32"/>
        <v>0</v>
      </c>
    </row>
    <row r="316" spans="1:17" x14ac:dyDescent="0.25">
      <c r="A316" t="s">
        <v>320</v>
      </c>
      <c r="B316" t="s">
        <v>909</v>
      </c>
      <c r="C316" s="1">
        <v>45721</v>
      </c>
      <c r="D316" s="1">
        <v>45766</v>
      </c>
      <c r="E316">
        <v>3464.1</v>
      </c>
      <c r="F316" t="s">
        <v>914</v>
      </c>
      <c r="G316" t="s">
        <v>916</v>
      </c>
      <c r="I316" t="s">
        <v>919</v>
      </c>
      <c r="J316" t="b">
        <f t="shared" si="28"/>
        <v>1</v>
      </c>
      <c r="K316" s="3">
        <f t="shared" ca="1" si="29"/>
        <v>330</v>
      </c>
      <c r="L316" s="3">
        <f t="shared" ca="1" si="30"/>
        <v>285</v>
      </c>
      <c r="M316" t="str">
        <f t="shared" ca="1" si="31"/>
        <v>Overdue</v>
      </c>
      <c r="N316">
        <f t="shared" si="33"/>
        <v>3464.1</v>
      </c>
      <c r="O316" t="str" cm="1">
        <f t="array" aca="1" ref="O316" ca="1">_xlfn.IFS(
L316&lt;=0,"Not Due",
L316&lt;=30,"0–30 Days",
L316&lt;=60,"31–60 Days",
L316&lt;=90,"61–90 Days",
L316&lt;=180,"91–180 Days",
L316&lt;=365,"181–365 Days",
L316&gt;365,"365+ Days (High Risk)"
)</f>
        <v>181–365 Days</v>
      </c>
      <c r="P316">
        <f t="shared" si="34"/>
        <v>0</v>
      </c>
      <c r="Q316" s="3">
        <f t="shared" ca="1" si="32"/>
        <v>3464.1</v>
      </c>
    </row>
    <row r="317" spans="1:17" x14ac:dyDescent="0.25">
      <c r="A317" t="s">
        <v>321</v>
      </c>
      <c r="B317" t="s">
        <v>910</v>
      </c>
      <c r="C317" s="1">
        <v>45755</v>
      </c>
      <c r="D317" s="1">
        <v>45800</v>
      </c>
      <c r="E317">
        <v>3713.6</v>
      </c>
      <c r="F317" t="s">
        <v>915</v>
      </c>
      <c r="G317" t="s">
        <v>918</v>
      </c>
      <c r="H317" s="1">
        <v>45800</v>
      </c>
      <c r="I317" t="s">
        <v>919</v>
      </c>
      <c r="J317" t="b">
        <f t="shared" si="28"/>
        <v>0</v>
      </c>
      <c r="K317" s="3">
        <f t="shared" ca="1" si="29"/>
        <v>45</v>
      </c>
      <c r="L317" s="3">
        <f t="shared" ca="1" si="30"/>
        <v>0</v>
      </c>
      <c r="M317" t="str">
        <f t="shared" ca="1" si="31"/>
        <v>On Time</v>
      </c>
      <c r="N317">
        <f t="shared" si="33"/>
        <v>0</v>
      </c>
      <c r="O317" t="str" cm="1">
        <f t="array" aca="1" ref="O317" ca="1">_xlfn.IFS(
L317&lt;=0,"Not Due",
L317&lt;=30,"0–30 Days",
L317&lt;=60,"31–60 Days",
L317&lt;=90,"61–90 Days",
L317&lt;=180,"91–180 Days",
L317&lt;=365,"181–365 Days",
L317&gt;365,"365+ Days (High Risk)"
)</f>
        <v>Not Due</v>
      </c>
      <c r="P317">
        <f t="shared" si="34"/>
        <v>3713.6</v>
      </c>
      <c r="Q317" s="3">
        <f t="shared" ca="1" si="32"/>
        <v>0</v>
      </c>
    </row>
    <row r="318" spans="1:17" x14ac:dyDescent="0.25">
      <c r="A318" t="s">
        <v>322</v>
      </c>
      <c r="B318" t="s">
        <v>907</v>
      </c>
      <c r="C318" s="1">
        <v>45230</v>
      </c>
      <c r="D318" s="1">
        <v>45275</v>
      </c>
      <c r="E318">
        <v>375.36</v>
      </c>
      <c r="F318" t="s">
        <v>911</v>
      </c>
      <c r="G318" t="s">
        <v>916</v>
      </c>
      <c r="I318" t="s">
        <v>919</v>
      </c>
      <c r="J318" t="b">
        <f t="shared" si="28"/>
        <v>1</v>
      </c>
      <c r="K318" s="3">
        <f t="shared" ca="1" si="29"/>
        <v>821</v>
      </c>
      <c r="L318" s="3">
        <f t="shared" ca="1" si="30"/>
        <v>776</v>
      </c>
      <c r="M318" t="str">
        <f t="shared" ca="1" si="31"/>
        <v>Overdue</v>
      </c>
      <c r="N318">
        <f t="shared" si="33"/>
        <v>375.36</v>
      </c>
      <c r="O318" t="str" cm="1">
        <f t="array" aca="1" ref="O318" ca="1">_xlfn.IFS(
L318&lt;=0,"Not Due",
L318&lt;=30,"0–30 Days",
L318&lt;=60,"31–60 Days",
L318&lt;=90,"61–90 Days",
L318&lt;=180,"91–180 Days",
L318&lt;=365,"181–365 Days",
L318&gt;365,"365+ Days (High Risk)"
)</f>
        <v>365+ Days (High Risk)</v>
      </c>
      <c r="P318">
        <f t="shared" si="34"/>
        <v>0</v>
      </c>
      <c r="Q318" s="3">
        <f t="shared" ca="1" si="32"/>
        <v>375.36</v>
      </c>
    </row>
    <row r="319" spans="1:17" x14ac:dyDescent="0.25">
      <c r="A319" t="s">
        <v>323</v>
      </c>
      <c r="B319" t="s">
        <v>906</v>
      </c>
      <c r="C319" s="1">
        <v>45617</v>
      </c>
      <c r="D319" s="1">
        <v>45662</v>
      </c>
      <c r="E319">
        <v>4606.43</v>
      </c>
      <c r="F319" t="s">
        <v>913</v>
      </c>
      <c r="G319" t="s">
        <v>917</v>
      </c>
      <c r="I319" t="s">
        <v>919</v>
      </c>
      <c r="J319" t="b">
        <f t="shared" si="28"/>
        <v>1</v>
      </c>
      <c r="K319" s="3">
        <f t="shared" ca="1" si="29"/>
        <v>434</v>
      </c>
      <c r="L319" s="3">
        <f t="shared" ca="1" si="30"/>
        <v>389</v>
      </c>
      <c r="M319" t="str">
        <f t="shared" ca="1" si="31"/>
        <v>Overdue</v>
      </c>
      <c r="N319">
        <f t="shared" si="33"/>
        <v>4606.43</v>
      </c>
      <c r="O319" t="str" cm="1">
        <f t="array" aca="1" ref="O319" ca="1">_xlfn.IFS(
L319&lt;=0,"Not Due",
L319&lt;=30,"0–30 Days",
L319&lt;=60,"31–60 Days",
L319&lt;=90,"61–90 Days",
L319&lt;=180,"91–180 Days",
L319&lt;=365,"181–365 Days",
L319&gt;365,"365+ Days (High Risk)"
)</f>
        <v>365+ Days (High Risk)</v>
      </c>
      <c r="P319">
        <f t="shared" si="34"/>
        <v>0</v>
      </c>
      <c r="Q319" s="3">
        <f t="shared" ca="1" si="32"/>
        <v>4606.43</v>
      </c>
    </row>
    <row r="320" spans="1:17" x14ac:dyDescent="0.25">
      <c r="A320" t="s">
        <v>324</v>
      </c>
      <c r="B320" t="s">
        <v>906</v>
      </c>
      <c r="C320" s="1">
        <v>44978</v>
      </c>
      <c r="D320" s="1">
        <v>45023</v>
      </c>
      <c r="E320">
        <v>3956.63</v>
      </c>
      <c r="F320" t="s">
        <v>912</v>
      </c>
      <c r="G320" t="s">
        <v>917</v>
      </c>
      <c r="I320" t="s">
        <v>919</v>
      </c>
      <c r="J320" t="b">
        <f t="shared" si="28"/>
        <v>1</v>
      </c>
      <c r="K320" s="3">
        <f t="shared" ca="1" si="29"/>
        <v>1073</v>
      </c>
      <c r="L320" s="3">
        <f t="shared" ca="1" si="30"/>
        <v>1028</v>
      </c>
      <c r="M320" t="str">
        <f t="shared" ca="1" si="31"/>
        <v>Overdue</v>
      </c>
      <c r="N320">
        <f t="shared" si="33"/>
        <v>3956.63</v>
      </c>
      <c r="O320" t="str" cm="1">
        <f t="array" aca="1" ref="O320" ca="1">_xlfn.IFS(
L320&lt;=0,"Not Due",
L320&lt;=30,"0–30 Days",
L320&lt;=60,"31–60 Days",
L320&lt;=90,"61–90 Days",
L320&lt;=180,"91–180 Days",
L320&lt;=365,"181–365 Days",
L320&gt;365,"365+ Days (High Risk)"
)</f>
        <v>365+ Days (High Risk)</v>
      </c>
      <c r="P320">
        <f t="shared" si="34"/>
        <v>0</v>
      </c>
      <c r="Q320" s="3">
        <f t="shared" ca="1" si="32"/>
        <v>3956.63</v>
      </c>
    </row>
    <row r="321" spans="1:17" x14ac:dyDescent="0.25">
      <c r="A321" t="s">
        <v>325</v>
      </c>
      <c r="B321" t="s">
        <v>907</v>
      </c>
      <c r="C321" s="1">
        <v>45060</v>
      </c>
      <c r="D321" s="1">
        <v>45105</v>
      </c>
      <c r="E321">
        <v>6463.15</v>
      </c>
      <c r="F321" t="s">
        <v>915</v>
      </c>
      <c r="G321" t="s">
        <v>918</v>
      </c>
      <c r="H321" s="1">
        <v>45105</v>
      </c>
      <c r="I321" t="s">
        <v>919</v>
      </c>
      <c r="J321" t="b">
        <f t="shared" si="28"/>
        <v>0</v>
      </c>
      <c r="K321" s="3">
        <f t="shared" ca="1" si="29"/>
        <v>45</v>
      </c>
      <c r="L321" s="3">
        <f t="shared" ca="1" si="30"/>
        <v>0</v>
      </c>
      <c r="M321" t="str">
        <f t="shared" ca="1" si="31"/>
        <v>On Time</v>
      </c>
      <c r="N321">
        <f t="shared" si="33"/>
        <v>0</v>
      </c>
      <c r="O321" t="str" cm="1">
        <f t="array" aca="1" ref="O321" ca="1">_xlfn.IFS(
L321&lt;=0,"Not Due",
L321&lt;=30,"0–30 Days",
L321&lt;=60,"31–60 Days",
L321&lt;=90,"61–90 Days",
L321&lt;=180,"91–180 Days",
L321&lt;=365,"181–365 Days",
L321&gt;365,"365+ Days (High Risk)"
)</f>
        <v>Not Due</v>
      </c>
      <c r="P321">
        <f t="shared" si="34"/>
        <v>6463.15</v>
      </c>
      <c r="Q321" s="3">
        <f t="shared" ca="1" si="32"/>
        <v>0</v>
      </c>
    </row>
    <row r="322" spans="1:17" x14ac:dyDescent="0.25">
      <c r="A322" t="s">
        <v>326</v>
      </c>
      <c r="B322" t="s">
        <v>908</v>
      </c>
      <c r="C322" s="1">
        <v>45232</v>
      </c>
      <c r="D322" s="1">
        <v>45277</v>
      </c>
      <c r="E322">
        <v>3131.18</v>
      </c>
      <c r="F322" t="s">
        <v>911</v>
      </c>
      <c r="G322" t="s">
        <v>917</v>
      </c>
      <c r="I322" t="s">
        <v>919</v>
      </c>
      <c r="J322" t="b">
        <f t="shared" ref="J322:J385" si="35">ISBLANK(H322)</f>
        <v>1</v>
      </c>
      <c r="K322" s="3">
        <f t="shared" ref="K322:K385" ca="1" si="36">IF(G322="Received",
IF(H322="",TODAY()-C322,H322-C322),
TODAY()-C322)</f>
        <v>819</v>
      </c>
      <c r="L322" s="3">
        <f t="shared" ref="L322:L385" ca="1" si="37">IF(N322=0,0,TODAY()-D322)</f>
        <v>774</v>
      </c>
      <c r="M322" t="str">
        <f t="shared" ref="M322:M385" ca="1" si="38">IF(L322&gt;0,"Overdue","On Time")</f>
        <v>Overdue</v>
      </c>
      <c r="N322">
        <f t="shared" si="33"/>
        <v>3131.18</v>
      </c>
      <c r="O322" t="str" cm="1">
        <f t="array" aca="1" ref="O322" ca="1">_xlfn.IFS(
L322&lt;=0,"Not Due",
L322&lt;=30,"0–30 Days",
L322&lt;=60,"31–60 Days",
L322&lt;=90,"61–90 Days",
L322&lt;=180,"91–180 Days",
L322&lt;=365,"181–365 Days",
L322&gt;365,"365+ Days (High Risk)"
)</f>
        <v>365+ Days (High Risk)</v>
      </c>
      <c r="P322">
        <f t="shared" si="34"/>
        <v>0</v>
      </c>
      <c r="Q322" s="3">
        <f t="shared" ref="Q322:Q385" ca="1" si="39">IF(L322&gt;0, N322, 0)</f>
        <v>3131.18</v>
      </c>
    </row>
    <row r="323" spans="1:17" x14ac:dyDescent="0.25">
      <c r="A323" t="s">
        <v>327</v>
      </c>
      <c r="B323" t="s">
        <v>908</v>
      </c>
      <c r="C323" s="1">
        <v>44979</v>
      </c>
      <c r="D323" s="1">
        <v>45024</v>
      </c>
      <c r="E323">
        <v>7443.46</v>
      </c>
      <c r="F323" t="s">
        <v>913</v>
      </c>
      <c r="G323" t="s">
        <v>917</v>
      </c>
      <c r="I323" t="s">
        <v>919</v>
      </c>
      <c r="J323" t="b">
        <f t="shared" si="35"/>
        <v>1</v>
      </c>
      <c r="K323" s="3">
        <f t="shared" ca="1" si="36"/>
        <v>1072</v>
      </c>
      <c r="L323" s="3">
        <f t="shared" ca="1" si="37"/>
        <v>1027</v>
      </c>
      <c r="M323" t="str">
        <f t="shared" ca="1" si="38"/>
        <v>Overdue</v>
      </c>
      <c r="N323">
        <f t="shared" ref="N323:N386" si="40">IF(G323="Received",0,E323)</f>
        <v>7443.46</v>
      </c>
      <c r="O323" t="str" cm="1">
        <f t="array" aca="1" ref="O323" ca="1">_xlfn.IFS(
L323&lt;=0,"Not Due",
L323&lt;=30,"0–30 Days",
L323&lt;=60,"31–60 Days",
L323&lt;=90,"61–90 Days",
L323&lt;=180,"91–180 Days",
L323&lt;=365,"181–365 Days",
L323&gt;365,"365+ Days (High Risk)"
)</f>
        <v>365+ Days (High Risk)</v>
      </c>
      <c r="P323">
        <f t="shared" ref="P323:P386" si="41">E323-N323</f>
        <v>0</v>
      </c>
      <c r="Q323" s="3">
        <f t="shared" ca="1" si="39"/>
        <v>7443.46</v>
      </c>
    </row>
    <row r="324" spans="1:17" x14ac:dyDescent="0.25">
      <c r="A324" t="s">
        <v>328</v>
      </c>
      <c r="B324" t="s">
        <v>909</v>
      </c>
      <c r="C324" s="1">
        <v>45322</v>
      </c>
      <c r="D324" s="1">
        <v>45367</v>
      </c>
      <c r="E324">
        <v>3523.63</v>
      </c>
      <c r="F324" t="s">
        <v>915</v>
      </c>
      <c r="G324" t="s">
        <v>916</v>
      </c>
      <c r="I324" t="s">
        <v>919</v>
      </c>
      <c r="J324" t="b">
        <f t="shared" si="35"/>
        <v>1</v>
      </c>
      <c r="K324" s="3">
        <f t="shared" ca="1" si="36"/>
        <v>729</v>
      </c>
      <c r="L324" s="3">
        <f t="shared" ca="1" si="37"/>
        <v>684</v>
      </c>
      <c r="M324" t="str">
        <f t="shared" ca="1" si="38"/>
        <v>Overdue</v>
      </c>
      <c r="N324">
        <f t="shared" si="40"/>
        <v>3523.63</v>
      </c>
      <c r="O324" t="str" cm="1">
        <f t="array" aca="1" ref="O324" ca="1">_xlfn.IFS(
L324&lt;=0,"Not Due",
L324&lt;=30,"0–30 Days",
L324&lt;=60,"31–60 Days",
L324&lt;=90,"61–90 Days",
L324&lt;=180,"91–180 Days",
L324&lt;=365,"181–365 Days",
L324&gt;365,"365+ Days (High Risk)"
)</f>
        <v>365+ Days (High Risk)</v>
      </c>
      <c r="P324">
        <f t="shared" si="41"/>
        <v>0</v>
      </c>
      <c r="Q324" s="3">
        <f t="shared" ca="1" si="39"/>
        <v>3523.63</v>
      </c>
    </row>
    <row r="325" spans="1:17" x14ac:dyDescent="0.25">
      <c r="A325" t="s">
        <v>329</v>
      </c>
      <c r="B325" t="s">
        <v>907</v>
      </c>
      <c r="C325" s="1">
        <v>45315</v>
      </c>
      <c r="D325" s="1">
        <v>45360</v>
      </c>
      <c r="E325">
        <v>255.41</v>
      </c>
      <c r="F325" t="s">
        <v>912</v>
      </c>
      <c r="G325" t="s">
        <v>916</v>
      </c>
      <c r="I325" t="s">
        <v>919</v>
      </c>
      <c r="J325" t="b">
        <f t="shared" si="35"/>
        <v>1</v>
      </c>
      <c r="K325" s="3">
        <f t="shared" ca="1" si="36"/>
        <v>736</v>
      </c>
      <c r="L325" s="3">
        <f t="shared" ca="1" si="37"/>
        <v>691</v>
      </c>
      <c r="M325" t="str">
        <f t="shared" ca="1" si="38"/>
        <v>Overdue</v>
      </c>
      <c r="N325">
        <f t="shared" si="40"/>
        <v>255.41</v>
      </c>
      <c r="O325" t="str" cm="1">
        <f t="array" aca="1" ref="O325" ca="1">_xlfn.IFS(
L325&lt;=0,"Not Due",
L325&lt;=30,"0–30 Days",
L325&lt;=60,"31–60 Days",
L325&lt;=90,"61–90 Days",
L325&lt;=180,"91–180 Days",
L325&lt;=365,"181–365 Days",
L325&gt;365,"365+ Days (High Risk)"
)</f>
        <v>365+ Days (High Risk)</v>
      </c>
      <c r="P325">
        <f t="shared" si="41"/>
        <v>0</v>
      </c>
      <c r="Q325" s="3">
        <f t="shared" ca="1" si="39"/>
        <v>255.41</v>
      </c>
    </row>
    <row r="326" spans="1:17" x14ac:dyDescent="0.25">
      <c r="A326" t="s">
        <v>330</v>
      </c>
      <c r="B326" t="s">
        <v>907</v>
      </c>
      <c r="C326" s="1">
        <v>45500</v>
      </c>
      <c r="D326" s="1">
        <v>45545</v>
      </c>
      <c r="E326">
        <v>7207.55</v>
      </c>
      <c r="F326" t="s">
        <v>914</v>
      </c>
      <c r="G326" t="s">
        <v>918</v>
      </c>
      <c r="H326" s="1">
        <v>45545</v>
      </c>
      <c r="I326" t="s">
        <v>919</v>
      </c>
      <c r="J326" t="b">
        <f t="shared" si="35"/>
        <v>0</v>
      </c>
      <c r="K326" s="3">
        <f t="shared" ca="1" si="36"/>
        <v>45</v>
      </c>
      <c r="L326" s="3">
        <f t="shared" ca="1" si="37"/>
        <v>0</v>
      </c>
      <c r="M326" t="str">
        <f t="shared" ca="1" si="38"/>
        <v>On Time</v>
      </c>
      <c r="N326">
        <f t="shared" si="40"/>
        <v>0</v>
      </c>
      <c r="O326" t="str" cm="1">
        <f t="array" aca="1" ref="O326" ca="1">_xlfn.IFS(
L326&lt;=0,"Not Due",
L326&lt;=30,"0–30 Days",
L326&lt;=60,"31–60 Days",
L326&lt;=90,"61–90 Days",
L326&lt;=180,"91–180 Days",
L326&lt;=365,"181–365 Days",
L326&gt;365,"365+ Days (High Risk)"
)</f>
        <v>Not Due</v>
      </c>
      <c r="P326">
        <f t="shared" si="41"/>
        <v>7207.55</v>
      </c>
      <c r="Q326" s="3">
        <f t="shared" ca="1" si="39"/>
        <v>0</v>
      </c>
    </row>
    <row r="327" spans="1:17" x14ac:dyDescent="0.25">
      <c r="A327" t="s">
        <v>331</v>
      </c>
      <c r="B327" t="s">
        <v>906</v>
      </c>
      <c r="C327" s="1">
        <v>45732</v>
      </c>
      <c r="D327" s="1">
        <v>45777</v>
      </c>
      <c r="E327">
        <v>7774.67</v>
      </c>
      <c r="F327" t="s">
        <v>915</v>
      </c>
      <c r="G327" t="s">
        <v>918</v>
      </c>
      <c r="H327" s="1">
        <v>45777</v>
      </c>
      <c r="I327" t="s">
        <v>919</v>
      </c>
      <c r="J327" t="b">
        <f t="shared" si="35"/>
        <v>0</v>
      </c>
      <c r="K327" s="3">
        <f t="shared" ca="1" si="36"/>
        <v>45</v>
      </c>
      <c r="L327" s="3">
        <f t="shared" ca="1" si="37"/>
        <v>0</v>
      </c>
      <c r="M327" t="str">
        <f t="shared" ca="1" si="38"/>
        <v>On Time</v>
      </c>
      <c r="N327">
        <f t="shared" si="40"/>
        <v>0</v>
      </c>
      <c r="O327" t="str" cm="1">
        <f t="array" aca="1" ref="O327" ca="1">_xlfn.IFS(
L327&lt;=0,"Not Due",
L327&lt;=30,"0–30 Days",
L327&lt;=60,"31–60 Days",
L327&lt;=90,"61–90 Days",
L327&lt;=180,"91–180 Days",
L327&lt;=365,"181–365 Days",
L327&gt;365,"365+ Days (High Risk)"
)</f>
        <v>Not Due</v>
      </c>
      <c r="P327">
        <f t="shared" si="41"/>
        <v>7774.67</v>
      </c>
      <c r="Q327" s="3">
        <f t="shared" ca="1" si="39"/>
        <v>0</v>
      </c>
    </row>
    <row r="328" spans="1:17" x14ac:dyDescent="0.25">
      <c r="A328" t="s">
        <v>332</v>
      </c>
      <c r="B328" t="s">
        <v>908</v>
      </c>
      <c r="C328" s="1">
        <v>45291</v>
      </c>
      <c r="D328" s="1">
        <v>45336</v>
      </c>
      <c r="E328">
        <v>1759.2</v>
      </c>
      <c r="F328" t="s">
        <v>915</v>
      </c>
      <c r="G328" t="s">
        <v>917</v>
      </c>
      <c r="I328" t="s">
        <v>919</v>
      </c>
      <c r="J328" t="b">
        <f t="shared" si="35"/>
        <v>1</v>
      </c>
      <c r="K328" s="3">
        <f t="shared" ca="1" si="36"/>
        <v>760</v>
      </c>
      <c r="L328" s="3">
        <f t="shared" ca="1" si="37"/>
        <v>715</v>
      </c>
      <c r="M328" t="str">
        <f t="shared" ca="1" si="38"/>
        <v>Overdue</v>
      </c>
      <c r="N328">
        <f t="shared" si="40"/>
        <v>1759.2</v>
      </c>
      <c r="O328" t="str" cm="1">
        <f t="array" aca="1" ref="O328" ca="1">_xlfn.IFS(
L328&lt;=0,"Not Due",
L328&lt;=30,"0–30 Days",
L328&lt;=60,"31–60 Days",
L328&lt;=90,"61–90 Days",
L328&lt;=180,"91–180 Days",
L328&lt;=365,"181–365 Days",
L328&gt;365,"365+ Days (High Risk)"
)</f>
        <v>365+ Days (High Risk)</v>
      </c>
      <c r="P328">
        <f t="shared" si="41"/>
        <v>0</v>
      </c>
      <c r="Q328" s="3">
        <f t="shared" ca="1" si="39"/>
        <v>1759.2</v>
      </c>
    </row>
    <row r="329" spans="1:17" x14ac:dyDescent="0.25">
      <c r="A329" t="s">
        <v>333</v>
      </c>
      <c r="B329" t="s">
        <v>910</v>
      </c>
      <c r="C329" s="1">
        <v>45277</v>
      </c>
      <c r="D329" s="1">
        <v>45322</v>
      </c>
      <c r="E329">
        <v>7446.1</v>
      </c>
      <c r="F329" t="s">
        <v>915</v>
      </c>
      <c r="G329" t="s">
        <v>917</v>
      </c>
      <c r="I329" t="s">
        <v>919</v>
      </c>
      <c r="J329" t="b">
        <f t="shared" si="35"/>
        <v>1</v>
      </c>
      <c r="K329" s="3">
        <f t="shared" ca="1" si="36"/>
        <v>774</v>
      </c>
      <c r="L329" s="3">
        <f t="shared" ca="1" si="37"/>
        <v>729</v>
      </c>
      <c r="M329" t="str">
        <f t="shared" ca="1" si="38"/>
        <v>Overdue</v>
      </c>
      <c r="N329">
        <f t="shared" si="40"/>
        <v>7446.1</v>
      </c>
      <c r="O329" t="str" cm="1">
        <f t="array" aca="1" ref="O329" ca="1">_xlfn.IFS(
L329&lt;=0,"Not Due",
L329&lt;=30,"0–30 Days",
L329&lt;=60,"31–60 Days",
L329&lt;=90,"61–90 Days",
L329&lt;=180,"91–180 Days",
L329&lt;=365,"181–365 Days",
L329&gt;365,"365+ Days (High Risk)"
)</f>
        <v>365+ Days (High Risk)</v>
      </c>
      <c r="P329">
        <f t="shared" si="41"/>
        <v>0</v>
      </c>
      <c r="Q329" s="3">
        <f t="shared" ca="1" si="39"/>
        <v>7446.1</v>
      </c>
    </row>
    <row r="330" spans="1:17" x14ac:dyDescent="0.25">
      <c r="A330" t="s">
        <v>334</v>
      </c>
      <c r="B330" t="s">
        <v>906</v>
      </c>
      <c r="C330" s="1">
        <v>45645</v>
      </c>
      <c r="D330" s="1">
        <v>45690</v>
      </c>
      <c r="E330">
        <v>5244.86</v>
      </c>
      <c r="F330" t="s">
        <v>912</v>
      </c>
      <c r="G330" t="s">
        <v>917</v>
      </c>
      <c r="I330" t="s">
        <v>919</v>
      </c>
      <c r="J330" t="b">
        <f t="shared" si="35"/>
        <v>1</v>
      </c>
      <c r="K330" s="3">
        <f t="shared" ca="1" si="36"/>
        <v>406</v>
      </c>
      <c r="L330" s="3">
        <f t="shared" ca="1" si="37"/>
        <v>361</v>
      </c>
      <c r="M330" t="str">
        <f t="shared" ca="1" si="38"/>
        <v>Overdue</v>
      </c>
      <c r="N330">
        <f t="shared" si="40"/>
        <v>5244.86</v>
      </c>
      <c r="O330" t="str" cm="1">
        <f t="array" aca="1" ref="O330" ca="1">_xlfn.IFS(
L330&lt;=0,"Not Due",
L330&lt;=30,"0–30 Days",
L330&lt;=60,"31–60 Days",
L330&lt;=90,"61–90 Days",
L330&lt;=180,"91–180 Days",
L330&lt;=365,"181–365 Days",
L330&gt;365,"365+ Days (High Risk)"
)</f>
        <v>181–365 Days</v>
      </c>
      <c r="P330">
        <f t="shared" si="41"/>
        <v>0</v>
      </c>
      <c r="Q330" s="3">
        <f t="shared" ca="1" si="39"/>
        <v>5244.86</v>
      </c>
    </row>
    <row r="331" spans="1:17" x14ac:dyDescent="0.25">
      <c r="A331" t="s">
        <v>335</v>
      </c>
      <c r="B331" t="s">
        <v>906</v>
      </c>
      <c r="C331" s="1">
        <v>45346</v>
      </c>
      <c r="D331" s="1">
        <v>45391</v>
      </c>
      <c r="E331">
        <v>7281.91</v>
      </c>
      <c r="F331" t="s">
        <v>912</v>
      </c>
      <c r="G331" t="s">
        <v>916</v>
      </c>
      <c r="I331" t="s">
        <v>919</v>
      </c>
      <c r="J331" t="b">
        <f t="shared" si="35"/>
        <v>1</v>
      </c>
      <c r="K331" s="3">
        <f t="shared" ca="1" si="36"/>
        <v>705</v>
      </c>
      <c r="L331" s="3">
        <f t="shared" ca="1" si="37"/>
        <v>660</v>
      </c>
      <c r="M331" t="str">
        <f t="shared" ca="1" si="38"/>
        <v>Overdue</v>
      </c>
      <c r="N331">
        <f t="shared" si="40"/>
        <v>7281.91</v>
      </c>
      <c r="O331" t="str" cm="1">
        <f t="array" aca="1" ref="O331" ca="1">_xlfn.IFS(
L331&lt;=0,"Not Due",
L331&lt;=30,"0–30 Days",
L331&lt;=60,"31–60 Days",
L331&lt;=90,"61–90 Days",
L331&lt;=180,"91–180 Days",
L331&lt;=365,"181–365 Days",
L331&gt;365,"365+ Days (High Risk)"
)</f>
        <v>365+ Days (High Risk)</v>
      </c>
      <c r="P331">
        <f t="shared" si="41"/>
        <v>0</v>
      </c>
      <c r="Q331" s="3">
        <f t="shared" ca="1" si="39"/>
        <v>7281.91</v>
      </c>
    </row>
    <row r="332" spans="1:17" x14ac:dyDescent="0.25">
      <c r="A332" t="s">
        <v>336</v>
      </c>
      <c r="B332" t="s">
        <v>908</v>
      </c>
      <c r="C332" s="1">
        <v>45052</v>
      </c>
      <c r="D332" s="1">
        <v>45097</v>
      </c>
      <c r="E332">
        <v>1209.49</v>
      </c>
      <c r="F332" t="s">
        <v>914</v>
      </c>
      <c r="G332" t="s">
        <v>917</v>
      </c>
      <c r="I332" t="s">
        <v>919</v>
      </c>
      <c r="J332" t="b">
        <f t="shared" si="35"/>
        <v>1</v>
      </c>
      <c r="K332" s="3">
        <f t="shared" ca="1" si="36"/>
        <v>999</v>
      </c>
      <c r="L332" s="3">
        <f t="shared" ca="1" si="37"/>
        <v>954</v>
      </c>
      <c r="M332" t="str">
        <f t="shared" ca="1" si="38"/>
        <v>Overdue</v>
      </c>
      <c r="N332">
        <f t="shared" si="40"/>
        <v>1209.49</v>
      </c>
      <c r="O332" t="str" cm="1">
        <f t="array" aca="1" ref="O332" ca="1">_xlfn.IFS(
L332&lt;=0,"Not Due",
L332&lt;=30,"0–30 Days",
L332&lt;=60,"31–60 Days",
L332&lt;=90,"61–90 Days",
L332&lt;=180,"91–180 Days",
L332&lt;=365,"181–365 Days",
L332&gt;365,"365+ Days (High Risk)"
)</f>
        <v>365+ Days (High Risk)</v>
      </c>
      <c r="P332">
        <f t="shared" si="41"/>
        <v>0</v>
      </c>
      <c r="Q332" s="3">
        <f t="shared" ca="1" si="39"/>
        <v>1209.49</v>
      </c>
    </row>
    <row r="333" spans="1:17" x14ac:dyDescent="0.25">
      <c r="A333" t="s">
        <v>337</v>
      </c>
      <c r="B333" t="s">
        <v>906</v>
      </c>
      <c r="C333" s="1">
        <v>45222</v>
      </c>
      <c r="D333" s="1">
        <v>45267</v>
      </c>
      <c r="E333">
        <v>6584.61</v>
      </c>
      <c r="F333" t="s">
        <v>912</v>
      </c>
      <c r="G333" t="s">
        <v>916</v>
      </c>
      <c r="I333" t="s">
        <v>919</v>
      </c>
      <c r="J333" t="b">
        <f t="shared" si="35"/>
        <v>1</v>
      </c>
      <c r="K333" s="3">
        <f t="shared" ca="1" si="36"/>
        <v>829</v>
      </c>
      <c r="L333" s="3">
        <f t="shared" ca="1" si="37"/>
        <v>784</v>
      </c>
      <c r="M333" t="str">
        <f t="shared" ca="1" si="38"/>
        <v>Overdue</v>
      </c>
      <c r="N333">
        <f t="shared" si="40"/>
        <v>6584.61</v>
      </c>
      <c r="O333" t="str" cm="1">
        <f t="array" aca="1" ref="O333" ca="1">_xlfn.IFS(
L333&lt;=0,"Not Due",
L333&lt;=30,"0–30 Days",
L333&lt;=60,"31–60 Days",
L333&lt;=90,"61–90 Days",
L333&lt;=180,"91–180 Days",
L333&lt;=365,"181–365 Days",
L333&gt;365,"365+ Days (High Risk)"
)</f>
        <v>365+ Days (High Risk)</v>
      </c>
      <c r="P333">
        <f t="shared" si="41"/>
        <v>0</v>
      </c>
      <c r="Q333" s="3">
        <f t="shared" ca="1" si="39"/>
        <v>6584.61</v>
      </c>
    </row>
    <row r="334" spans="1:17" x14ac:dyDescent="0.25">
      <c r="A334" t="s">
        <v>338</v>
      </c>
      <c r="B334" t="s">
        <v>907</v>
      </c>
      <c r="C334" s="1">
        <v>45321</v>
      </c>
      <c r="D334" s="1">
        <v>45366</v>
      </c>
      <c r="E334">
        <v>4282.2299999999996</v>
      </c>
      <c r="F334" t="s">
        <v>911</v>
      </c>
      <c r="G334" t="s">
        <v>917</v>
      </c>
      <c r="I334" t="s">
        <v>919</v>
      </c>
      <c r="J334" t="b">
        <f t="shared" si="35"/>
        <v>1</v>
      </c>
      <c r="K334" s="3">
        <f t="shared" ca="1" si="36"/>
        <v>730</v>
      </c>
      <c r="L334" s="3">
        <f t="shared" ca="1" si="37"/>
        <v>685</v>
      </c>
      <c r="M334" t="str">
        <f t="shared" ca="1" si="38"/>
        <v>Overdue</v>
      </c>
      <c r="N334">
        <f t="shared" si="40"/>
        <v>4282.2299999999996</v>
      </c>
      <c r="O334" t="str" cm="1">
        <f t="array" aca="1" ref="O334" ca="1">_xlfn.IFS(
L334&lt;=0,"Not Due",
L334&lt;=30,"0–30 Days",
L334&lt;=60,"31–60 Days",
L334&lt;=90,"61–90 Days",
L334&lt;=180,"91–180 Days",
L334&lt;=365,"181–365 Days",
L334&gt;365,"365+ Days (High Risk)"
)</f>
        <v>365+ Days (High Risk)</v>
      </c>
      <c r="P334">
        <f t="shared" si="41"/>
        <v>0</v>
      </c>
      <c r="Q334" s="3">
        <f t="shared" ca="1" si="39"/>
        <v>4282.2299999999996</v>
      </c>
    </row>
    <row r="335" spans="1:17" x14ac:dyDescent="0.25">
      <c r="A335" t="s">
        <v>339</v>
      </c>
      <c r="B335" t="s">
        <v>906</v>
      </c>
      <c r="C335" s="1">
        <v>45823</v>
      </c>
      <c r="D335" s="1">
        <v>45868</v>
      </c>
      <c r="E335">
        <v>443.26</v>
      </c>
      <c r="F335" t="s">
        <v>912</v>
      </c>
      <c r="G335" t="s">
        <v>916</v>
      </c>
      <c r="I335" t="s">
        <v>919</v>
      </c>
      <c r="J335" t="b">
        <f t="shared" si="35"/>
        <v>1</v>
      </c>
      <c r="K335" s="3">
        <f t="shared" ca="1" si="36"/>
        <v>228</v>
      </c>
      <c r="L335" s="3">
        <f t="shared" ca="1" si="37"/>
        <v>183</v>
      </c>
      <c r="M335" t="str">
        <f t="shared" ca="1" si="38"/>
        <v>Overdue</v>
      </c>
      <c r="N335">
        <f t="shared" si="40"/>
        <v>443.26</v>
      </c>
      <c r="O335" t="str" cm="1">
        <f t="array" aca="1" ref="O335" ca="1">_xlfn.IFS(
L335&lt;=0,"Not Due",
L335&lt;=30,"0–30 Days",
L335&lt;=60,"31–60 Days",
L335&lt;=90,"61–90 Days",
L335&lt;=180,"91–180 Days",
L335&lt;=365,"181–365 Days",
L335&gt;365,"365+ Days (High Risk)"
)</f>
        <v>181–365 Days</v>
      </c>
      <c r="P335">
        <f t="shared" si="41"/>
        <v>0</v>
      </c>
      <c r="Q335" s="3">
        <f t="shared" ca="1" si="39"/>
        <v>443.26</v>
      </c>
    </row>
    <row r="336" spans="1:17" x14ac:dyDescent="0.25">
      <c r="A336" t="s">
        <v>340</v>
      </c>
      <c r="B336" t="s">
        <v>906</v>
      </c>
      <c r="C336" s="1">
        <v>45086</v>
      </c>
      <c r="D336" s="1">
        <v>45131</v>
      </c>
      <c r="E336">
        <v>6477.19</v>
      </c>
      <c r="F336" t="s">
        <v>915</v>
      </c>
      <c r="G336" t="s">
        <v>916</v>
      </c>
      <c r="I336" t="s">
        <v>919</v>
      </c>
      <c r="J336" t="b">
        <f t="shared" si="35"/>
        <v>1</v>
      </c>
      <c r="K336" s="3">
        <f t="shared" ca="1" si="36"/>
        <v>965</v>
      </c>
      <c r="L336" s="3">
        <f t="shared" ca="1" si="37"/>
        <v>920</v>
      </c>
      <c r="M336" t="str">
        <f t="shared" ca="1" si="38"/>
        <v>Overdue</v>
      </c>
      <c r="N336">
        <f t="shared" si="40"/>
        <v>6477.19</v>
      </c>
      <c r="O336" t="str" cm="1">
        <f t="array" aca="1" ref="O336" ca="1">_xlfn.IFS(
L336&lt;=0,"Not Due",
L336&lt;=30,"0–30 Days",
L336&lt;=60,"31–60 Days",
L336&lt;=90,"61–90 Days",
L336&lt;=180,"91–180 Days",
L336&lt;=365,"181–365 Days",
L336&gt;365,"365+ Days (High Risk)"
)</f>
        <v>365+ Days (High Risk)</v>
      </c>
      <c r="P336">
        <f t="shared" si="41"/>
        <v>0</v>
      </c>
      <c r="Q336" s="3">
        <f t="shared" ca="1" si="39"/>
        <v>6477.19</v>
      </c>
    </row>
    <row r="337" spans="1:17" x14ac:dyDescent="0.25">
      <c r="A337" t="s">
        <v>341</v>
      </c>
      <c r="B337" t="s">
        <v>906</v>
      </c>
      <c r="C337" s="1">
        <v>45267</v>
      </c>
      <c r="D337" s="1">
        <v>45312</v>
      </c>
      <c r="E337">
        <v>6248.64</v>
      </c>
      <c r="F337" t="s">
        <v>914</v>
      </c>
      <c r="G337" t="s">
        <v>918</v>
      </c>
      <c r="H337" s="1">
        <v>45312</v>
      </c>
      <c r="I337" t="s">
        <v>919</v>
      </c>
      <c r="J337" t="b">
        <f t="shared" si="35"/>
        <v>0</v>
      </c>
      <c r="K337" s="3">
        <f t="shared" ca="1" si="36"/>
        <v>45</v>
      </c>
      <c r="L337" s="3">
        <f t="shared" ca="1" si="37"/>
        <v>0</v>
      </c>
      <c r="M337" t="str">
        <f t="shared" ca="1" si="38"/>
        <v>On Time</v>
      </c>
      <c r="N337">
        <f t="shared" si="40"/>
        <v>0</v>
      </c>
      <c r="O337" t="str" cm="1">
        <f t="array" aca="1" ref="O337" ca="1">_xlfn.IFS(
L337&lt;=0,"Not Due",
L337&lt;=30,"0–30 Days",
L337&lt;=60,"31–60 Days",
L337&lt;=90,"61–90 Days",
L337&lt;=180,"91–180 Days",
L337&lt;=365,"181–365 Days",
L337&gt;365,"365+ Days (High Risk)"
)</f>
        <v>Not Due</v>
      </c>
      <c r="P337">
        <f t="shared" si="41"/>
        <v>6248.64</v>
      </c>
      <c r="Q337" s="3">
        <f t="shared" ca="1" si="39"/>
        <v>0</v>
      </c>
    </row>
    <row r="338" spans="1:17" x14ac:dyDescent="0.25">
      <c r="A338" t="s">
        <v>342</v>
      </c>
      <c r="B338" t="s">
        <v>910</v>
      </c>
      <c r="C338" s="1">
        <v>45190</v>
      </c>
      <c r="D338" s="1">
        <v>45235</v>
      </c>
      <c r="E338">
        <v>5750.64</v>
      </c>
      <c r="F338" t="s">
        <v>915</v>
      </c>
      <c r="G338" t="s">
        <v>918</v>
      </c>
      <c r="H338" s="1">
        <v>45235</v>
      </c>
      <c r="I338" t="s">
        <v>919</v>
      </c>
      <c r="J338" t="b">
        <f t="shared" si="35"/>
        <v>0</v>
      </c>
      <c r="K338" s="3">
        <f t="shared" ca="1" si="36"/>
        <v>45</v>
      </c>
      <c r="L338" s="3">
        <f t="shared" ca="1" si="37"/>
        <v>0</v>
      </c>
      <c r="M338" t="str">
        <f t="shared" ca="1" si="38"/>
        <v>On Time</v>
      </c>
      <c r="N338">
        <f t="shared" si="40"/>
        <v>0</v>
      </c>
      <c r="O338" t="str" cm="1">
        <f t="array" aca="1" ref="O338" ca="1">_xlfn.IFS(
L338&lt;=0,"Not Due",
L338&lt;=30,"0–30 Days",
L338&lt;=60,"31–60 Days",
L338&lt;=90,"61–90 Days",
L338&lt;=180,"91–180 Days",
L338&lt;=365,"181–365 Days",
L338&gt;365,"365+ Days (High Risk)"
)</f>
        <v>Not Due</v>
      </c>
      <c r="P338">
        <f t="shared" si="41"/>
        <v>5750.64</v>
      </c>
      <c r="Q338" s="3">
        <f t="shared" ca="1" si="39"/>
        <v>0</v>
      </c>
    </row>
    <row r="339" spans="1:17" x14ac:dyDescent="0.25">
      <c r="A339" t="s">
        <v>343</v>
      </c>
      <c r="B339" t="s">
        <v>910</v>
      </c>
      <c r="C339" s="1">
        <v>45373</v>
      </c>
      <c r="D339" s="1">
        <v>45418</v>
      </c>
      <c r="E339">
        <v>2160.27</v>
      </c>
      <c r="F339" t="s">
        <v>911</v>
      </c>
      <c r="G339" t="s">
        <v>916</v>
      </c>
      <c r="I339" t="s">
        <v>919</v>
      </c>
      <c r="J339" t="b">
        <f t="shared" si="35"/>
        <v>1</v>
      </c>
      <c r="K339" s="3">
        <f t="shared" ca="1" si="36"/>
        <v>678</v>
      </c>
      <c r="L339" s="3">
        <f t="shared" ca="1" si="37"/>
        <v>633</v>
      </c>
      <c r="M339" t="str">
        <f t="shared" ca="1" si="38"/>
        <v>Overdue</v>
      </c>
      <c r="N339">
        <f t="shared" si="40"/>
        <v>2160.27</v>
      </c>
      <c r="O339" t="str" cm="1">
        <f t="array" aca="1" ref="O339" ca="1">_xlfn.IFS(
L339&lt;=0,"Not Due",
L339&lt;=30,"0–30 Days",
L339&lt;=60,"31–60 Days",
L339&lt;=90,"61–90 Days",
L339&lt;=180,"91–180 Days",
L339&lt;=365,"181–365 Days",
L339&gt;365,"365+ Days (High Risk)"
)</f>
        <v>365+ Days (High Risk)</v>
      </c>
      <c r="P339">
        <f t="shared" si="41"/>
        <v>0</v>
      </c>
      <c r="Q339" s="3">
        <f t="shared" ca="1" si="39"/>
        <v>2160.27</v>
      </c>
    </row>
    <row r="340" spans="1:17" x14ac:dyDescent="0.25">
      <c r="A340" t="s">
        <v>344</v>
      </c>
      <c r="B340" t="s">
        <v>909</v>
      </c>
      <c r="C340" s="1">
        <v>45223</v>
      </c>
      <c r="D340" s="1">
        <v>45268</v>
      </c>
      <c r="E340">
        <v>7752.81</v>
      </c>
      <c r="F340" t="s">
        <v>911</v>
      </c>
      <c r="G340" t="s">
        <v>918</v>
      </c>
      <c r="H340" s="1">
        <v>45268</v>
      </c>
      <c r="I340" t="s">
        <v>919</v>
      </c>
      <c r="J340" t="b">
        <f t="shared" si="35"/>
        <v>0</v>
      </c>
      <c r="K340" s="3">
        <f t="shared" ca="1" si="36"/>
        <v>45</v>
      </c>
      <c r="L340" s="3">
        <f t="shared" ca="1" si="37"/>
        <v>0</v>
      </c>
      <c r="M340" t="str">
        <f t="shared" ca="1" si="38"/>
        <v>On Time</v>
      </c>
      <c r="N340">
        <f t="shared" si="40"/>
        <v>0</v>
      </c>
      <c r="O340" t="str" cm="1">
        <f t="array" aca="1" ref="O340" ca="1">_xlfn.IFS(
L340&lt;=0,"Not Due",
L340&lt;=30,"0–30 Days",
L340&lt;=60,"31–60 Days",
L340&lt;=90,"61–90 Days",
L340&lt;=180,"91–180 Days",
L340&lt;=365,"181–365 Days",
L340&gt;365,"365+ Days (High Risk)"
)</f>
        <v>Not Due</v>
      </c>
      <c r="P340">
        <f t="shared" si="41"/>
        <v>7752.81</v>
      </c>
      <c r="Q340" s="3">
        <f t="shared" ca="1" si="39"/>
        <v>0</v>
      </c>
    </row>
    <row r="341" spans="1:17" x14ac:dyDescent="0.25">
      <c r="A341" t="s">
        <v>345</v>
      </c>
      <c r="B341" t="s">
        <v>908</v>
      </c>
      <c r="C341" s="1">
        <v>45166</v>
      </c>
      <c r="D341" s="1">
        <v>45211</v>
      </c>
      <c r="E341">
        <v>2252.3000000000002</v>
      </c>
      <c r="F341" t="s">
        <v>911</v>
      </c>
      <c r="G341" t="s">
        <v>917</v>
      </c>
      <c r="I341" t="s">
        <v>919</v>
      </c>
      <c r="J341" t="b">
        <f t="shared" si="35"/>
        <v>1</v>
      </c>
      <c r="K341" s="3">
        <f t="shared" ca="1" si="36"/>
        <v>885</v>
      </c>
      <c r="L341" s="3">
        <f t="shared" ca="1" si="37"/>
        <v>840</v>
      </c>
      <c r="M341" t="str">
        <f t="shared" ca="1" si="38"/>
        <v>Overdue</v>
      </c>
      <c r="N341">
        <f t="shared" si="40"/>
        <v>2252.3000000000002</v>
      </c>
      <c r="O341" t="str" cm="1">
        <f t="array" aca="1" ref="O341" ca="1">_xlfn.IFS(
L341&lt;=0,"Not Due",
L341&lt;=30,"0–30 Days",
L341&lt;=60,"31–60 Days",
L341&lt;=90,"61–90 Days",
L341&lt;=180,"91–180 Days",
L341&lt;=365,"181–365 Days",
L341&gt;365,"365+ Days (High Risk)"
)</f>
        <v>365+ Days (High Risk)</v>
      </c>
      <c r="P341">
        <f t="shared" si="41"/>
        <v>0</v>
      </c>
      <c r="Q341" s="3">
        <f t="shared" ca="1" si="39"/>
        <v>2252.3000000000002</v>
      </c>
    </row>
    <row r="342" spans="1:17" x14ac:dyDescent="0.25">
      <c r="A342" t="s">
        <v>346</v>
      </c>
      <c r="B342" t="s">
        <v>908</v>
      </c>
      <c r="C342" s="1">
        <v>45195</v>
      </c>
      <c r="D342" s="1">
        <v>45240</v>
      </c>
      <c r="E342">
        <v>235.01</v>
      </c>
      <c r="F342" t="s">
        <v>913</v>
      </c>
      <c r="G342" t="s">
        <v>917</v>
      </c>
      <c r="I342" t="s">
        <v>919</v>
      </c>
      <c r="J342" t="b">
        <f t="shared" si="35"/>
        <v>1</v>
      </c>
      <c r="K342" s="3">
        <f t="shared" ca="1" si="36"/>
        <v>856</v>
      </c>
      <c r="L342" s="3">
        <f t="shared" ca="1" si="37"/>
        <v>811</v>
      </c>
      <c r="M342" t="str">
        <f t="shared" ca="1" si="38"/>
        <v>Overdue</v>
      </c>
      <c r="N342">
        <f t="shared" si="40"/>
        <v>235.01</v>
      </c>
      <c r="O342" t="str" cm="1">
        <f t="array" aca="1" ref="O342" ca="1">_xlfn.IFS(
L342&lt;=0,"Not Due",
L342&lt;=30,"0–30 Days",
L342&lt;=60,"31–60 Days",
L342&lt;=90,"61–90 Days",
L342&lt;=180,"91–180 Days",
L342&lt;=365,"181–365 Days",
L342&gt;365,"365+ Days (High Risk)"
)</f>
        <v>365+ Days (High Risk)</v>
      </c>
      <c r="P342">
        <f t="shared" si="41"/>
        <v>0</v>
      </c>
      <c r="Q342" s="3">
        <f t="shared" ca="1" si="39"/>
        <v>235.01</v>
      </c>
    </row>
    <row r="343" spans="1:17" x14ac:dyDescent="0.25">
      <c r="A343" t="s">
        <v>347</v>
      </c>
      <c r="B343" t="s">
        <v>908</v>
      </c>
      <c r="C343" s="1">
        <v>45332</v>
      </c>
      <c r="D343" s="1">
        <v>45377</v>
      </c>
      <c r="E343">
        <v>6828.57</v>
      </c>
      <c r="F343" t="s">
        <v>913</v>
      </c>
      <c r="G343" t="s">
        <v>918</v>
      </c>
      <c r="H343" s="1">
        <v>45377</v>
      </c>
      <c r="I343" t="s">
        <v>919</v>
      </c>
      <c r="J343" t="b">
        <f t="shared" si="35"/>
        <v>0</v>
      </c>
      <c r="K343" s="3">
        <f t="shared" ca="1" si="36"/>
        <v>45</v>
      </c>
      <c r="L343" s="3">
        <f t="shared" ca="1" si="37"/>
        <v>0</v>
      </c>
      <c r="M343" t="str">
        <f t="shared" ca="1" si="38"/>
        <v>On Time</v>
      </c>
      <c r="N343">
        <f t="shared" si="40"/>
        <v>0</v>
      </c>
      <c r="O343" t="str" cm="1">
        <f t="array" aca="1" ref="O343" ca="1">_xlfn.IFS(
L343&lt;=0,"Not Due",
L343&lt;=30,"0–30 Days",
L343&lt;=60,"31–60 Days",
L343&lt;=90,"61–90 Days",
L343&lt;=180,"91–180 Days",
L343&lt;=365,"181–365 Days",
L343&gt;365,"365+ Days (High Risk)"
)</f>
        <v>Not Due</v>
      </c>
      <c r="P343">
        <f t="shared" si="41"/>
        <v>6828.57</v>
      </c>
      <c r="Q343" s="3">
        <f t="shared" ca="1" si="39"/>
        <v>0</v>
      </c>
    </row>
    <row r="344" spans="1:17" x14ac:dyDescent="0.25">
      <c r="A344" t="s">
        <v>348</v>
      </c>
      <c r="B344" t="s">
        <v>908</v>
      </c>
      <c r="C344" s="1">
        <v>45633</v>
      </c>
      <c r="D344" s="1">
        <v>45678</v>
      </c>
      <c r="E344">
        <v>3769.6</v>
      </c>
      <c r="F344" t="s">
        <v>911</v>
      </c>
      <c r="G344" t="s">
        <v>918</v>
      </c>
      <c r="H344" s="1">
        <v>45678</v>
      </c>
      <c r="I344" t="s">
        <v>919</v>
      </c>
      <c r="J344" t="b">
        <f t="shared" si="35"/>
        <v>0</v>
      </c>
      <c r="K344" s="3">
        <f t="shared" ca="1" si="36"/>
        <v>45</v>
      </c>
      <c r="L344" s="3">
        <f t="shared" ca="1" si="37"/>
        <v>0</v>
      </c>
      <c r="M344" t="str">
        <f t="shared" ca="1" si="38"/>
        <v>On Time</v>
      </c>
      <c r="N344">
        <f t="shared" si="40"/>
        <v>0</v>
      </c>
      <c r="O344" t="str" cm="1">
        <f t="array" aca="1" ref="O344" ca="1">_xlfn.IFS(
L344&lt;=0,"Not Due",
L344&lt;=30,"0–30 Days",
L344&lt;=60,"31–60 Days",
L344&lt;=90,"61–90 Days",
L344&lt;=180,"91–180 Days",
L344&lt;=365,"181–365 Days",
L344&gt;365,"365+ Days (High Risk)"
)</f>
        <v>Not Due</v>
      </c>
      <c r="P344">
        <f t="shared" si="41"/>
        <v>3769.6</v>
      </c>
      <c r="Q344" s="3">
        <f t="shared" ca="1" si="39"/>
        <v>0</v>
      </c>
    </row>
    <row r="345" spans="1:17" x14ac:dyDescent="0.25">
      <c r="A345" t="s">
        <v>349</v>
      </c>
      <c r="B345" t="s">
        <v>909</v>
      </c>
      <c r="C345" s="1">
        <v>45355</v>
      </c>
      <c r="D345" s="1">
        <v>45400</v>
      </c>
      <c r="E345">
        <v>3315.73</v>
      </c>
      <c r="F345" t="s">
        <v>913</v>
      </c>
      <c r="G345" t="s">
        <v>916</v>
      </c>
      <c r="I345" t="s">
        <v>919</v>
      </c>
      <c r="J345" t="b">
        <f t="shared" si="35"/>
        <v>1</v>
      </c>
      <c r="K345" s="3">
        <f t="shared" ca="1" si="36"/>
        <v>696</v>
      </c>
      <c r="L345" s="3">
        <f t="shared" ca="1" si="37"/>
        <v>651</v>
      </c>
      <c r="M345" t="str">
        <f t="shared" ca="1" si="38"/>
        <v>Overdue</v>
      </c>
      <c r="N345">
        <f t="shared" si="40"/>
        <v>3315.73</v>
      </c>
      <c r="O345" t="str" cm="1">
        <f t="array" aca="1" ref="O345" ca="1">_xlfn.IFS(
L345&lt;=0,"Not Due",
L345&lt;=30,"0–30 Days",
L345&lt;=60,"31–60 Days",
L345&lt;=90,"61–90 Days",
L345&lt;=180,"91–180 Days",
L345&lt;=365,"181–365 Days",
L345&gt;365,"365+ Days (High Risk)"
)</f>
        <v>365+ Days (High Risk)</v>
      </c>
      <c r="P345">
        <f t="shared" si="41"/>
        <v>0</v>
      </c>
      <c r="Q345" s="3">
        <f t="shared" ca="1" si="39"/>
        <v>3315.73</v>
      </c>
    </row>
    <row r="346" spans="1:17" x14ac:dyDescent="0.25">
      <c r="A346" t="s">
        <v>350</v>
      </c>
      <c r="B346" t="s">
        <v>908</v>
      </c>
      <c r="C346" s="1">
        <v>45605</v>
      </c>
      <c r="D346" s="1">
        <v>45650</v>
      </c>
      <c r="E346">
        <v>6472.22</v>
      </c>
      <c r="F346" t="s">
        <v>915</v>
      </c>
      <c r="G346" t="s">
        <v>916</v>
      </c>
      <c r="I346" t="s">
        <v>919</v>
      </c>
      <c r="J346" t="b">
        <f t="shared" si="35"/>
        <v>1</v>
      </c>
      <c r="K346" s="3">
        <f t="shared" ca="1" si="36"/>
        <v>446</v>
      </c>
      <c r="L346" s="3">
        <f t="shared" ca="1" si="37"/>
        <v>401</v>
      </c>
      <c r="M346" t="str">
        <f t="shared" ca="1" si="38"/>
        <v>Overdue</v>
      </c>
      <c r="N346">
        <f t="shared" si="40"/>
        <v>6472.22</v>
      </c>
      <c r="O346" t="str" cm="1">
        <f t="array" aca="1" ref="O346" ca="1">_xlfn.IFS(
L346&lt;=0,"Not Due",
L346&lt;=30,"0–30 Days",
L346&lt;=60,"31–60 Days",
L346&lt;=90,"61–90 Days",
L346&lt;=180,"91–180 Days",
L346&lt;=365,"181–365 Days",
L346&gt;365,"365+ Days (High Risk)"
)</f>
        <v>365+ Days (High Risk)</v>
      </c>
      <c r="P346">
        <f t="shared" si="41"/>
        <v>0</v>
      </c>
      <c r="Q346" s="3">
        <f t="shared" ca="1" si="39"/>
        <v>6472.22</v>
      </c>
    </row>
    <row r="347" spans="1:17" x14ac:dyDescent="0.25">
      <c r="A347" t="s">
        <v>351</v>
      </c>
      <c r="B347" t="s">
        <v>909</v>
      </c>
      <c r="C347" s="1">
        <v>45727</v>
      </c>
      <c r="D347" s="1">
        <v>45772</v>
      </c>
      <c r="E347">
        <v>3493.6</v>
      </c>
      <c r="F347" t="s">
        <v>915</v>
      </c>
      <c r="G347" t="s">
        <v>916</v>
      </c>
      <c r="I347" t="s">
        <v>919</v>
      </c>
      <c r="J347" t="b">
        <f t="shared" si="35"/>
        <v>1</v>
      </c>
      <c r="K347" s="3">
        <f t="shared" ca="1" si="36"/>
        <v>324</v>
      </c>
      <c r="L347" s="3">
        <f t="shared" ca="1" si="37"/>
        <v>279</v>
      </c>
      <c r="M347" t="str">
        <f t="shared" ca="1" si="38"/>
        <v>Overdue</v>
      </c>
      <c r="N347">
        <f t="shared" si="40"/>
        <v>3493.6</v>
      </c>
      <c r="O347" t="str" cm="1">
        <f t="array" aca="1" ref="O347" ca="1">_xlfn.IFS(
L347&lt;=0,"Not Due",
L347&lt;=30,"0–30 Days",
L347&lt;=60,"31–60 Days",
L347&lt;=90,"61–90 Days",
L347&lt;=180,"91–180 Days",
L347&lt;=365,"181–365 Days",
L347&gt;365,"365+ Days (High Risk)"
)</f>
        <v>181–365 Days</v>
      </c>
      <c r="P347">
        <f t="shared" si="41"/>
        <v>0</v>
      </c>
      <c r="Q347" s="3">
        <f t="shared" ca="1" si="39"/>
        <v>3493.6</v>
      </c>
    </row>
    <row r="348" spans="1:17" x14ac:dyDescent="0.25">
      <c r="A348" t="s">
        <v>352</v>
      </c>
      <c r="B348" t="s">
        <v>910</v>
      </c>
      <c r="C348" s="1">
        <v>45680</v>
      </c>
      <c r="D348" s="1">
        <v>45725</v>
      </c>
      <c r="E348">
        <v>547.94000000000005</v>
      </c>
      <c r="F348" t="s">
        <v>915</v>
      </c>
      <c r="G348" t="s">
        <v>917</v>
      </c>
      <c r="I348" t="s">
        <v>919</v>
      </c>
      <c r="J348" t="b">
        <f t="shared" si="35"/>
        <v>1</v>
      </c>
      <c r="K348" s="3">
        <f t="shared" ca="1" si="36"/>
        <v>371</v>
      </c>
      <c r="L348" s="3">
        <f t="shared" ca="1" si="37"/>
        <v>326</v>
      </c>
      <c r="M348" t="str">
        <f t="shared" ca="1" si="38"/>
        <v>Overdue</v>
      </c>
      <c r="N348">
        <f t="shared" si="40"/>
        <v>547.94000000000005</v>
      </c>
      <c r="O348" t="str" cm="1">
        <f t="array" aca="1" ref="O348" ca="1">_xlfn.IFS(
L348&lt;=0,"Not Due",
L348&lt;=30,"0–30 Days",
L348&lt;=60,"31–60 Days",
L348&lt;=90,"61–90 Days",
L348&lt;=180,"91–180 Days",
L348&lt;=365,"181–365 Days",
L348&gt;365,"365+ Days (High Risk)"
)</f>
        <v>181–365 Days</v>
      </c>
      <c r="P348">
        <f t="shared" si="41"/>
        <v>0</v>
      </c>
      <c r="Q348" s="3">
        <f t="shared" ca="1" si="39"/>
        <v>547.94000000000005</v>
      </c>
    </row>
    <row r="349" spans="1:17" x14ac:dyDescent="0.25">
      <c r="A349" t="s">
        <v>353</v>
      </c>
      <c r="B349" t="s">
        <v>906</v>
      </c>
      <c r="C349" s="1">
        <v>45638</v>
      </c>
      <c r="D349" s="1">
        <v>45683</v>
      </c>
      <c r="E349">
        <v>5276.49</v>
      </c>
      <c r="F349" t="s">
        <v>915</v>
      </c>
      <c r="G349" t="s">
        <v>917</v>
      </c>
      <c r="I349" t="s">
        <v>919</v>
      </c>
      <c r="J349" t="b">
        <f t="shared" si="35"/>
        <v>1</v>
      </c>
      <c r="K349" s="3">
        <f t="shared" ca="1" si="36"/>
        <v>413</v>
      </c>
      <c r="L349" s="3">
        <f t="shared" ca="1" si="37"/>
        <v>368</v>
      </c>
      <c r="M349" t="str">
        <f t="shared" ca="1" si="38"/>
        <v>Overdue</v>
      </c>
      <c r="N349">
        <f t="shared" si="40"/>
        <v>5276.49</v>
      </c>
      <c r="O349" t="str" cm="1">
        <f t="array" aca="1" ref="O349" ca="1">_xlfn.IFS(
L349&lt;=0,"Not Due",
L349&lt;=30,"0–30 Days",
L349&lt;=60,"31–60 Days",
L349&lt;=90,"61–90 Days",
L349&lt;=180,"91–180 Days",
L349&lt;=365,"181–365 Days",
L349&gt;365,"365+ Days (High Risk)"
)</f>
        <v>365+ Days (High Risk)</v>
      </c>
      <c r="P349">
        <f t="shared" si="41"/>
        <v>0</v>
      </c>
      <c r="Q349" s="3">
        <f t="shared" ca="1" si="39"/>
        <v>5276.49</v>
      </c>
    </row>
    <row r="350" spans="1:17" x14ac:dyDescent="0.25">
      <c r="A350" t="s">
        <v>354</v>
      </c>
      <c r="B350" t="s">
        <v>910</v>
      </c>
      <c r="C350" s="1">
        <v>45402</v>
      </c>
      <c r="D350" s="1">
        <v>45447</v>
      </c>
      <c r="E350">
        <v>1752.5</v>
      </c>
      <c r="F350" t="s">
        <v>911</v>
      </c>
      <c r="G350" t="s">
        <v>916</v>
      </c>
      <c r="I350" t="s">
        <v>919</v>
      </c>
      <c r="J350" t="b">
        <f t="shared" si="35"/>
        <v>1</v>
      </c>
      <c r="K350" s="3">
        <f t="shared" ca="1" si="36"/>
        <v>649</v>
      </c>
      <c r="L350" s="3">
        <f t="shared" ca="1" si="37"/>
        <v>604</v>
      </c>
      <c r="M350" t="str">
        <f t="shared" ca="1" si="38"/>
        <v>Overdue</v>
      </c>
      <c r="N350">
        <f t="shared" si="40"/>
        <v>1752.5</v>
      </c>
      <c r="O350" t="str" cm="1">
        <f t="array" aca="1" ref="O350" ca="1">_xlfn.IFS(
L350&lt;=0,"Not Due",
L350&lt;=30,"0–30 Days",
L350&lt;=60,"31–60 Days",
L350&lt;=90,"61–90 Days",
L350&lt;=180,"91–180 Days",
L350&lt;=365,"181–365 Days",
L350&gt;365,"365+ Days (High Risk)"
)</f>
        <v>365+ Days (High Risk)</v>
      </c>
      <c r="P350">
        <f t="shared" si="41"/>
        <v>0</v>
      </c>
      <c r="Q350" s="3">
        <f t="shared" ca="1" si="39"/>
        <v>1752.5</v>
      </c>
    </row>
    <row r="351" spans="1:17" x14ac:dyDescent="0.25">
      <c r="A351" t="s">
        <v>355</v>
      </c>
      <c r="B351" t="s">
        <v>910</v>
      </c>
      <c r="C351" s="1">
        <v>45827</v>
      </c>
      <c r="D351" s="1">
        <v>45872</v>
      </c>
      <c r="E351">
        <v>3580.72</v>
      </c>
      <c r="F351" t="s">
        <v>915</v>
      </c>
      <c r="G351" t="s">
        <v>917</v>
      </c>
      <c r="I351" t="s">
        <v>919</v>
      </c>
      <c r="J351" t="b">
        <f t="shared" si="35"/>
        <v>1</v>
      </c>
      <c r="K351" s="3">
        <f t="shared" ca="1" si="36"/>
        <v>224</v>
      </c>
      <c r="L351" s="3">
        <f t="shared" ca="1" si="37"/>
        <v>179</v>
      </c>
      <c r="M351" t="str">
        <f t="shared" ca="1" si="38"/>
        <v>Overdue</v>
      </c>
      <c r="N351">
        <f t="shared" si="40"/>
        <v>3580.72</v>
      </c>
      <c r="O351" t="str" cm="1">
        <f t="array" aca="1" ref="O351" ca="1">_xlfn.IFS(
L351&lt;=0,"Not Due",
L351&lt;=30,"0–30 Days",
L351&lt;=60,"31–60 Days",
L351&lt;=90,"61–90 Days",
L351&lt;=180,"91–180 Days",
L351&lt;=365,"181–365 Days",
L351&gt;365,"365+ Days (High Risk)"
)</f>
        <v>91–180 Days</v>
      </c>
      <c r="P351">
        <f t="shared" si="41"/>
        <v>0</v>
      </c>
      <c r="Q351" s="3">
        <f t="shared" ca="1" si="39"/>
        <v>3580.72</v>
      </c>
    </row>
    <row r="352" spans="1:17" x14ac:dyDescent="0.25">
      <c r="A352" t="s">
        <v>356</v>
      </c>
      <c r="B352" t="s">
        <v>907</v>
      </c>
      <c r="C352" s="1">
        <v>45162</v>
      </c>
      <c r="D352" s="1">
        <v>45207</v>
      </c>
      <c r="E352">
        <v>6738.75</v>
      </c>
      <c r="F352" t="s">
        <v>911</v>
      </c>
      <c r="G352" t="s">
        <v>917</v>
      </c>
      <c r="I352" t="s">
        <v>919</v>
      </c>
      <c r="J352" t="b">
        <f t="shared" si="35"/>
        <v>1</v>
      </c>
      <c r="K352" s="3">
        <f t="shared" ca="1" si="36"/>
        <v>889</v>
      </c>
      <c r="L352" s="3">
        <f t="shared" ca="1" si="37"/>
        <v>844</v>
      </c>
      <c r="M352" t="str">
        <f t="shared" ca="1" si="38"/>
        <v>Overdue</v>
      </c>
      <c r="N352">
        <f t="shared" si="40"/>
        <v>6738.75</v>
      </c>
      <c r="O352" t="str" cm="1">
        <f t="array" aca="1" ref="O352" ca="1">_xlfn.IFS(
L352&lt;=0,"Not Due",
L352&lt;=30,"0–30 Days",
L352&lt;=60,"31–60 Days",
L352&lt;=90,"61–90 Days",
L352&lt;=180,"91–180 Days",
L352&lt;=365,"181–365 Days",
L352&gt;365,"365+ Days (High Risk)"
)</f>
        <v>365+ Days (High Risk)</v>
      </c>
      <c r="P352">
        <f t="shared" si="41"/>
        <v>0</v>
      </c>
      <c r="Q352" s="3">
        <f t="shared" ca="1" si="39"/>
        <v>6738.75</v>
      </c>
    </row>
    <row r="353" spans="1:17" x14ac:dyDescent="0.25">
      <c r="A353" t="s">
        <v>357</v>
      </c>
      <c r="B353" t="s">
        <v>907</v>
      </c>
      <c r="C353" s="1">
        <v>45371</v>
      </c>
      <c r="D353" s="1">
        <v>45416</v>
      </c>
      <c r="E353">
        <v>4258.67</v>
      </c>
      <c r="F353" t="s">
        <v>914</v>
      </c>
      <c r="G353" t="s">
        <v>918</v>
      </c>
      <c r="H353" s="1">
        <v>45416</v>
      </c>
      <c r="I353" t="s">
        <v>919</v>
      </c>
      <c r="J353" t="b">
        <f t="shared" si="35"/>
        <v>0</v>
      </c>
      <c r="K353" s="3">
        <f t="shared" ca="1" si="36"/>
        <v>45</v>
      </c>
      <c r="L353" s="3">
        <f t="shared" ca="1" si="37"/>
        <v>0</v>
      </c>
      <c r="M353" t="str">
        <f t="shared" ca="1" si="38"/>
        <v>On Time</v>
      </c>
      <c r="N353">
        <f t="shared" si="40"/>
        <v>0</v>
      </c>
      <c r="O353" t="str" cm="1">
        <f t="array" aca="1" ref="O353" ca="1">_xlfn.IFS(
L353&lt;=0,"Not Due",
L353&lt;=30,"0–30 Days",
L353&lt;=60,"31–60 Days",
L353&lt;=90,"61–90 Days",
L353&lt;=180,"91–180 Days",
L353&lt;=365,"181–365 Days",
L353&gt;365,"365+ Days (High Risk)"
)</f>
        <v>Not Due</v>
      </c>
      <c r="P353">
        <f t="shared" si="41"/>
        <v>4258.67</v>
      </c>
      <c r="Q353" s="3">
        <f t="shared" ca="1" si="39"/>
        <v>0</v>
      </c>
    </row>
    <row r="354" spans="1:17" x14ac:dyDescent="0.25">
      <c r="A354" t="s">
        <v>358</v>
      </c>
      <c r="B354" t="s">
        <v>907</v>
      </c>
      <c r="C354" s="1">
        <v>45609</v>
      </c>
      <c r="D354" s="1">
        <v>45654</v>
      </c>
      <c r="E354">
        <v>6586.55</v>
      </c>
      <c r="F354" t="s">
        <v>915</v>
      </c>
      <c r="G354" t="s">
        <v>918</v>
      </c>
      <c r="H354" s="1">
        <v>45654</v>
      </c>
      <c r="I354" t="s">
        <v>919</v>
      </c>
      <c r="J354" t="b">
        <f t="shared" si="35"/>
        <v>0</v>
      </c>
      <c r="K354" s="3">
        <f t="shared" ca="1" si="36"/>
        <v>45</v>
      </c>
      <c r="L354" s="3">
        <f t="shared" ca="1" si="37"/>
        <v>0</v>
      </c>
      <c r="M354" t="str">
        <f t="shared" ca="1" si="38"/>
        <v>On Time</v>
      </c>
      <c r="N354">
        <f t="shared" si="40"/>
        <v>0</v>
      </c>
      <c r="O354" t="str" cm="1">
        <f t="array" aca="1" ref="O354" ca="1">_xlfn.IFS(
L354&lt;=0,"Not Due",
L354&lt;=30,"0–30 Days",
L354&lt;=60,"31–60 Days",
L354&lt;=90,"61–90 Days",
L354&lt;=180,"91–180 Days",
L354&lt;=365,"181–365 Days",
L354&gt;365,"365+ Days (High Risk)"
)</f>
        <v>Not Due</v>
      </c>
      <c r="P354">
        <f t="shared" si="41"/>
        <v>6586.55</v>
      </c>
      <c r="Q354" s="3">
        <f t="shared" ca="1" si="39"/>
        <v>0</v>
      </c>
    </row>
    <row r="355" spans="1:17" x14ac:dyDescent="0.25">
      <c r="A355" t="s">
        <v>359</v>
      </c>
      <c r="B355" t="s">
        <v>909</v>
      </c>
      <c r="C355" s="1">
        <v>45427</v>
      </c>
      <c r="D355" s="1">
        <v>45472</v>
      </c>
      <c r="E355">
        <v>6004.91</v>
      </c>
      <c r="F355" t="s">
        <v>912</v>
      </c>
      <c r="G355" t="s">
        <v>917</v>
      </c>
      <c r="I355" t="s">
        <v>919</v>
      </c>
      <c r="J355" t="b">
        <f t="shared" si="35"/>
        <v>1</v>
      </c>
      <c r="K355" s="3">
        <f t="shared" ca="1" si="36"/>
        <v>624</v>
      </c>
      <c r="L355" s="3">
        <f t="shared" ca="1" si="37"/>
        <v>579</v>
      </c>
      <c r="M355" t="str">
        <f t="shared" ca="1" si="38"/>
        <v>Overdue</v>
      </c>
      <c r="N355">
        <f t="shared" si="40"/>
        <v>6004.91</v>
      </c>
      <c r="O355" t="str" cm="1">
        <f t="array" aca="1" ref="O355" ca="1">_xlfn.IFS(
L355&lt;=0,"Not Due",
L355&lt;=30,"0–30 Days",
L355&lt;=60,"31–60 Days",
L355&lt;=90,"61–90 Days",
L355&lt;=180,"91–180 Days",
L355&lt;=365,"181–365 Days",
L355&gt;365,"365+ Days (High Risk)"
)</f>
        <v>365+ Days (High Risk)</v>
      </c>
      <c r="P355">
        <f t="shared" si="41"/>
        <v>0</v>
      </c>
      <c r="Q355" s="3">
        <f t="shared" ca="1" si="39"/>
        <v>6004.91</v>
      </c>
    </row>
    <row r="356" spans="1:17" x14ac:dyDescent="0.25">
      <c r="A356" t="s">
        <v>360</v>
      </c>
      <c r="B356" t="s">
        <v>907</v>
      </c>
      <c r="C356" s="1">
        <v>44974</v>
      </c>
      <c r="D356" s="1">
        <v>45019</v>
      </c>
      <c r="E356">
        <v>7397.93</v>
      </c>
      <c r="F356" t="s">
        <v>911</v>
      </c>
      <c r="G356" t="s">
        <v>916</v>
      </c>
      <c r="I356" t="s">
        <v>919</v>
      </c>
      <c r="J356" t="b">
        <f t="shared" si="35"/>
        <v>1</v>
      </c>
      <c r="K356" s="3">
        <f t="shared" ca="1" si="36"/>
        <v>1077</v>
      </c>
      <c r="L356" s="3">
        <f t="shared" ca="1" si="37"/>
        <v>1032</v>
      </c>
      <c r="M356" t="str">
        <f t="shared" ca="1" si="38"/>
        <v>Overdue</v>
      </c>
      <c r="N356">
        <f t="shared" si="40"/>
        <v>7397.93</v>
      </c>
      <c r="O356" t="str" cm="1">
        <f t="array" aca="1" ref="O356" ca="1">_xlfn.IFS(
L356&lt;=0,"Not Due",
L356&lt;=30,"0–30 Days",
L356&lt;=60,"31–60 Days",
L356&lt;=90,"61–90 Days",
L356&lt;=180,"91–180 Days",
L356&lt;=365,"181–365 Days",
L356&gt;365,"365+ Days (High Risk)"
)</f>
        <v>365+ Days (High Risk)</v>
      </c>
      <c r="P356">
        <f t="shared" si="41"/>
        <v>0</v>
      </c>
      <c r="Q356" s="3">
        <f t="shared" ca="1" si="39"/>
        <v>7397.93</v>
      </c>
    </row>
    <row r="357" spans="1:17" x14ac:dyDescent="0.25">
      <c r="A357" t="s">
        <v>361</v>
      </c>
      <c r="B357" t="s">
        <v>909</v>
      </c>
      <c r="C357" s="1">
        <v>45160</v>
      </c>
      <c r="D357" s="1">
        <v>45205</v>
      </c>
      <c r="E357">
        <v>3933.54</v>
      </c>
      <c r="F357" t="s">
        <v>914</v>
      </c>
      <c r="G357" t="s">
        <v>918</v>
      </c>
      <c r="H357" s="1">
        <v>45205</v>
      </c>
      <c r="I357" t="s">
        <v>919</v>
      </c>
      <c r="J357" t="b">
        <f t="shared" si="35"/>
        <v>0</v>
      </c>
      <c r="K357" s="3">
        <f t="shared" ca="1" si="36"/>
        <v>45</v>
      </c>
      <c r="L357" s="3">
        <f t="shared" ca="1" si="37"/>
        <v>0</v>
      </c>
      <c r="M357" t="str">
        <f t="shared" ca="1" si="38"/>
        <v>On Time</v>
      </c>
      <c r="N357">
        <f t="shared" si="40"/>
        <v>0</v>
      </c>
      <c r="O357" t="str" cm="1">
        <f t="array" aca="1" ref="O357" ca="1">_xlfn.IFS(
L357&lt;=0,"Not Due",
L357&lt;=30,"0–30 Days",
L357&lt;=60,"31–60 Days",
L357&lt;=90,"61–90 Days",
L357&lt;=180,"91–180 Days",
L357&lt;=365,"181–365 Days",
L357&gt;365,"365+ Days (High Risk)"
)</f>
        <v>Not Due</v>
      </c>
      <c r="P357">
        <f t="shared" si="41"/>
        <v>3933.54</v>
      </c>
      <c r="Q357" s="3">
        <f t="shared" ca="1" si="39"/>
        <v>0</v>
      </c>
    </row>
    <row r="358" spans="1:17" x14ac:dyDescent="0.25">
      <c r="A358" t="s">
        <v>362</v>
      </c>
      <c r="B358" t="s">
        <v>910</v>
      </c>
      <c r="C358" s="1">
        <v>45115</v>
      </c>
      <c r="D358" s="1">
        <v>45160</v>
      </c>
      <c r="E358">
        <v>2855.08</v>
      </c>
      <c r="F358" t="s">
        <v>913</v>
      </c>
      <c r="G358" t="s">
        <v>918</v>
      </c>
      <c r="H358" s="1">
        <v>45160</v>
      </c>
      <c r="I358" t="s">
        <v>919</v>
      </c>
      <c r="J358" t="b">
        <f t="shared" si="35"/>
        <v>0</v>
      </c>
      <c r="K358" s="3">
        <f t="shared" ca="1" si="36"/>
        <v>45</v>
      </c>
      <c r="L358" s="3">
        <f t="shared" ca="1" si="37"/>
        <v>0</v>
      </c>
      <c r="M358" t="str">
        <f t="shared" ca="1" si="38"/>
        <v>On Time</v>
      </c>
      <c r="N358">
        <f t="shared" si="40"/>
        <v>0</v>
      </c>
      <c r="O358" t="str" cm="1">
        <f t="array" aca="1" ref="O358" ca="1">_xlfn.IFS(
L358&lt;=0,"Not Due",
L358&lt;=30,"0–30 Days",
L358&lt;=60,"31–60 Days",
L358&lt;=90,"61–90 Days",
L358&lt;=180,"91–180 Days",
L358&lt;=365,"181–365 Days",
L358&gt;365,"365+ Days (High Risk)"
)</f>
        <v>Not Due</v>
      </c>
      <c r="P358">
        <f t="shared" si="41"/>
        <v>2855.08</v>
      </c>
      <c r="Q358" s="3">
        <f t="shared" ca="1" si="39"/>
        <v>0</v>
      </c>
    </row>
    <row r="359" spans="1:17" x14ac:dyDescent="0.25">
      <c r="A359" t="s">
        <v>363</v>
      </c>
      <c r="B359" t="s">
        <v>909</v>
      </c>
      <c r="C359" s="1">
        <v>45094</v>
      </c>
      <c r="D359" s="1">
        <v>45139</v>
      </c>
      <c r="E359">
        <v>1949.39</v>
      </c>
      <c r="F359" t="s">
        <v>912</v>
      </c>
      <c r="G359" t="s">
        <v>918</v>
      </c>
      <c r="H359" s="1">
        <v>45139</v>
      </c>
      <c r="I359" t="s">
        <v>919</v>
      </c>
      <c r="J359" t="b">
        <f t="shared" si="35"/>
        <v>0</v>
      </c>
      <c r="K359" s="3">
        <f t="shared" ca="1" si="36"/>
        <v>45</v>
      </c>
      <c r="L359" s="3">
        <f t="shared" ca="1" si="37"/>
        <v>0</v>
      </c>
      <c r="M359" t="str">
        <f t="shared" ca="1" si="38"/>
        <v>On Time</v>
      </c>
      <c r="N359">
        <f t="shared" si="40"/>
        <v>0</v>
      </c>
      <c r="O359" t="str" cm="1">
        <f t="array" aca="1" ref="O359" ca="1">_xlfn.IFS(
L359&lt;=0,"Not Due",
L359&lt;=30,"0–30 Days",
L359&lt;=60,"31–60 Days",
L359&lt;=90,"61–90 Days",
L359&lt;=180,"91–180 Days",
L359&lt;=365,"181–365 Days",
L359&gt;365,"365+ Days (High Risk)"
)</f>
        <v>Not Due</v>
      </c>
      <c r="P359">
        <f t="shared" si="41"/>
        <v>1949.39</v>
      </c>
      <c r="Q359" s="3">
        <f t="shared" ca="1" si="39"/>
        <v>0</v>
      </c>
    </row>
    <row r="360" spans="1:17" x14ac:dyDescent="0.25">
      <c r="A360" t="s">
        <v>364</v>
      </c>
      <c r="B360" t="s">
        <v>907</v>
      </c>
      <c r="C360" s="1">
        <v>45205</v>
      </c>
      <c r="D360" s="1">
        <v>45250</v>
      </c>
      <c r="E360">
        <v>6683.45</v>
      </c>
      <c r="F360" t="s">
        <v>914</v>
      </c>
      <c r="G360" t="s">
        <v>917</v>
      </c>
      <c r="I360" t="s">
        <v>919</v>
      </c>
      <c r="J360" t="b">
        <f t="shared" si="35"/>
        <v>1</v>
      </c>
      <c r="K360" s="3">
        <f t="shared" ca="1" si="36"/>
        <v>846</v>
      </c>
      <c r="L360" s="3">
        <f t="shared" ca="1" si="37"/>
        <v>801</v>
      </c>
      <c r="M360" t="str">
        <f t="shared" ca="1" si="38"/>
        <v>Overdue</v>
      </c>
      <c r="N360">
        <f t="shared" si="40"/>
        <v>6683.45</v>
      </c>
      <c r="O360" t="str" cm="1">
        <f t="array" aca="1" ref="O360" ca="1">_xlfn.IFS(
L360&lt;=0,"Not Due",
L360&lt;=30,"0–30 Days",
L360&lt;=60,"31–60 Days",
L360&lt;=90,"61–90 Days",
L360&lt;=180,"91–180 Days",
L360&lt;=365,"181–365 Days",
L360&gt;365,"365+ Days (High Risk)"
)</f>
        <v>365+ Days (High Risk)</v>
      </c>
      <c r="P360">
        <f t="shared" si="41"/>
        <v>0</v>
      </c>
      <c r="Q360" s="3">
        <f t="shared" ca="1" si="39"/>
        <v>6683.45</v>
      </c>
    </row>
    <row r="361" spans="1:17" x14ac:dyDescent="0.25">
      <c r="A361" t="s">
        <v>365</v>
      </c>
      <c r="B361" t="s">
        <v>907</v>
      </c>
      <c r="C361" s="1">
        <v>45298</v>
      </c>
      <c r="D361" s="1">
        <v>45343</v>
      </c>
      <c r="E361">
        <v>4920.13</v>
      </c>
      <c r="F361" t="s">
        <v>912</v>
      </c>
      <c r="G361" t="s">
        <v>918</v>
      </c>
      <c r="H361" s="1">
        <v>45343</v>
      </c>
      <c r="I361" t="s">
        <v>919</v>
      </c>
      <c r="J361" t="b">
        <f t="shared" si="35"/>
        <v>0</v>
      </c>
      <c r="K361" s="3">
        <f t="shared" ca="1" si="36"/>
        <v>45</v>
      </c>
      <c r="L361" s="3">
        <f t="shared" ca="1" si="37"/>
        <v>0</v>
      </c>
      <c r="M361" t="str">
        <f t="shared" ca="1" si="38"/>
        <v>On Time</v>
      </c>
      <c r="N361">
        <f t="shared" si="40"/>
        <v>0</v>
      </c>
      <c r="O361" t="str" cm="1">
        <f t="array" aca="1" ref="O361" ca="1">_xlfn.IFS(
L361&lt;=0,"Not Due",
L361&lt;=30,"0–30 Days",
L361&lt;=60,"31–60 Days",
L361&lt;=90,"61–90 Days",
L361&lt;=180,"91–180 Days",
L361&lt;=365,"181–365 Days",
L361&gt;365,"365+ Days (High Risk)"
)</f>
        <v>Not Due</v>
      </c>
      <c r="P361">
        <f t="shared" si="41"/>
        <v>4920.13</v>
      </c>
      <c r="Q361" s="3">
        <f t="shared" ca="1" si="39"/>
        <v>0</v>
      </c>
    </row>
    <row r="362" spans="1:17" x14ac:dyDescent="0.25">
      <c r="A362" t="s">
        <v>366</v>
      </c>
      <c r="B362" t="s">
        <v>910</v>
      </c>
      <c r="C362" s="1">
        <v>45210</v>
      </c>
      <c r="D362" s="1">
        <v>45255</v>
      </c>
      <c r="E362">
        <v>6345.32</v>
      </c>
      <c r="F362" t="s">
        <v>911</v>
      </c>
      <c r="G362" t="s">
        <v>917</v>
      </c>
      <c r="I362" t="s">
        <v>919</v>
      </c>
      <c r="J362" t="b">
        <f t="shared" si="35"/>
        <v>1</v>
      </c>
      <c r="K362" s="3">
        <f t="shared" ca="1" si="36"/>
        <v>841</v>
      </c>
      <c r="L362" s="3">
        <f t="shared" ca="1" si="37"/>
        <v>796</v>
      </c>
      <c r="M362" t="str">
        <f t="shared" ca="1" si="38"/>
        <v>Overdue</v>
      </c>
      <c r="N362">
        <f t="shared" si="40"/>
        <v>6345.32</v>
      </c>
      <c r="O362" t="str" cm="1">
        <f t="array" aca="1" ref="O362" ca="1">_xlfn.IFS(
L362&lt;=0,"Not Due",
L362&lt;=30,"0–30 Days",
L362&lt;=60,"31–60 Days",
L362&lt;=90,"61–90 Days",
L362&lt;=180,"91–180 Days",
L362&lt;=365,"181–365 Days",
L362&gt;365,"365+ Days (High Risk)"
)</f>
        <v>365+ Days (High Risk)</v>
      </c>
      <c r="P362">
        <f t="shared" si="41"/>
        <v>0</v>
      </c>
      <c r="Q362" s="3">
        <f t="shared" ca="1" si="39"/>
        <v>6345.32</v>
      </c>
    </row>
    <row r="363" spans="1:17" x14ac:dyDescent="0.25">
      <c r="A363" t="s">
        <v>367</v>
      </c>
      <c r="B363" t="s">
        <v>910</v>
      </c>
      <c r="C363" s="1">
        <v>45774</v>
      </c>
      <c r="D363" s="1">
        <v>45819</v>
      </c>
      <c r="E363">
        <v>5576.91</v>
      </c>
      <c r="F363" t="s">
        <v>915</v>
      </c>
      <c r="G363" t="s">
        <v>918</v>
      </c>
      <c r="H363" s="1">
        <v>45819</v>
      </c>
      <c r="I363" t="s">
        <v>919</v>
      </c>
      <c r="J363" t="b">
        <f t="shared" si="35"/>
        <v>0</v>
      </c>
      <c r="K363" s="3">
        <f t="shared" ca="1" si="36"/>
        <v>45</v>
      </c>
      <c r="L363" s="3">
        <f t="shared" ca="1" si="37"/>
        <v>0</v>
      </c>
      <c r="M363" t="str">
        <f t="shared" ca="1" si="38"/>
        <v>On Time</v>
      </c>
      <c r="N363">
        <f t="shared" si="40"/>
        <v>0</v>
      </c>
      <c r="O363" t="str" cm="1">
        <f t="array" aca="1" ref="O363" ca="1">_xlfn.IFS(
L363&lt;=0,"Not Due",
L363&lt;=30,"0–30 Days",
L363&lt;=60,"31–60 Days",
L363&lt;=90,"61–90 Days",
L363&lt;=180,"91–180 Days",
L363&lt;=365,"181–365 Days",
L363&gt;365,"365+ Days (High Risk)"
)</f>
        <v>Not Due</v>
      </c>
      <c r="P363">
        <f t="shared" si="41"/>
        <v>5576.91</v>
      </c>
      <c r="Q363" s="3">
        <f t="shared" ca="1" si="39"/>
        <v>0</v>
      </c>
    </row>
    <row r="364" spans="1:17" x14ac:dyDescent="0.25">
      <c r="A364" t="s">
        <v>368</v>
      </c>
      <c r="B364" t="s">
        <v>906</v>
      </c>
      <c r="C364" s="1">
        <v>45776</v>
      </c>
      <c r="D364" s="1">
        <v>45821</v>
      </c>
      <c r="E364">
        <v>6384.66</v>
      </c>
      <c r="F364" t="s">
        <v>915</v>
      </c>
      <c r="G364" t="s">
        <v>916</v>
      </c>
      <c r="I364" t="s">
        <v>919</v>
      </c>
      <c r="J364" t="b">
        <f t="shared" si="35"/>
        <v>1</v>
      </c>
      <c r="K364" s="3">
        <f t="shared" ca="1" si="36"/>
        <v>275</v>
      </c>
      <c r="L364" s="3">
        <f t="shared" ca="1" si="37"/>
        <v>230</v>
      </c>
      <c r="M364" t="str">
        <f t="shared" ca="1" si="38"/>
        <v>Overdue</v>
      </c>
      <c r="N364">
        <f t="shared" si="40"/>
        <v>6384.66</v>
      </c>
      <c r="O364" t="str" cm="1">
        <f t="array" aca="1" ref="O364" ca="1">_xlfn.IFS(
L364&lt;=0,"Not Due",
L364&lt;=30,"0–30 Days",
L364&lt;=60,"31–60 Days",
L364&lt;=90,"61–90 Days",
L364&lt;=180,"91–180 Days",
L364&lt;=365,"181–365 Days",
L364&gt;365,"365+ Days (High Risk)"
)</f>
        <v>181–365 Days</v>
      </c>
      <c r="P364">
        <f t="shared" si="41"/>
        <v>0</v>
      </c>
      <c r="Q364" s="3">
        <f t="shared" ca="1" si="39"/>
        <v>6384.66</v>
      </c>
    </row>
    <row r="365" spans="1:17" x14ac:dyDescent="0.25">
      <c r="A365" t="s">
        <v>369</v>
      </c>
      <c r="B365" t="s">
        <v>908</v>
      </c>
      <c r="C365" s="1">
        <v>45326</v>
      </c>
      <c r="D365" s="1">
        <v>45371</v>
      </c>
      <c r="E365">
        <v>7693.54</v>
      </c>
      <c r="F365" t="s">
        <v>915</v>
      </c>
      <c r="G365" t="s">
        <v>916</v>
      </c>
      <c r="I365" t="s">
        <v>919</v>
      </c>
      <c r="J365" t="b">
        <f t="shared" si="35"/>
        <v>1</v>
      </c>
      <c r="K365" s="3">
        <f t="shared" ca="1" si="36"/>
        <v>725</v>
      </c>
      <c r="L365" s="3">
        <f t="shared" ca="1" si="37"/>
        <v>680</v>
      </c>
      <c r="M365" t="str">
        <f t="shared" ca="1" si="38"/>
        <v>Overdue</v>
      </c>
      <c r="N365">
        <f t="shared" si="40"/>
        <v>7693.54</v>
      </c>
      <c r="O365" t="str" cm="1">
        <f t="array" aca="1" ref="O365" ca="1">_xlfn.IFS(
L365&lt;=0,"Not Due",
L365&lt;=30,"0–30 Days",
L365&lt;=60,"31–60 Days",
L365&lt;=90,"61–90 Days",
L365&lt;=180,"91–180 Days",
L365&lt;=365,"181–365 Days",
L365&gt;365,"365+ Days (High Risk)"
)</f>
        <v>365+ Days (High Risk)</v>
      </c>
      <c r="P365">
        <f t="shared" si="41"/>
        <v>0</v>
      </c>
      <c r="Q365" s="3">
        <f t="shared" ca="1" si="39"/>
        <v>7693.54</v>
      </c>
    </row>
    <row r="366" spans="1:17" x14ac:dyDescent="0.25">
      <c r="A366" t="s">
        <v>370</v>
      </c>
      <c r="B366" t="s">
        <v>908</v>
      </c>
      <c r="C366" s="1">
        <v>45173</v>
      </c>
      <c r="D366" s="1">
        <v>45218</v>
      </c>
      <c r="E366">
        <v>6624.35</v>
      </c>
      <c r="F366" t="s">
        <v>915</v>
      </c>
      <c r="G366" t="s">
        <v>916</v>
      </c>
      <c r="I366" t="s">
        <v>919</v>
      </c>
      <c r="J366" t="b">
        <f t="shared" si="35"/>
        <v>1</v>
      </c>
      <c r="K366" s="3">
        <f t="shared" ca="1" si="36"/>
        <v>878</v>
      </c>
      <c r="L366" s="3">
        <f t="shared" ca="1" si="37"/>
        <v>833</v>
      </c>
      <c r="M366" t="str">
        <f t="shared" ca="1" si="38"/>
        <v>Overdue</v>
      </c>
      <c r="N366">
        <f t="shared" si="40"/>
        <v>6624.35</v>
      </c>
      <c r="O366" t="str" cm="1">
        <f t="array" aca="1" ref="O366" ca="1">_xlfn.IFS(
L366&lt;=0,"Not Due",
L366&lt;=30,"0–30 Days",
L366&lt;=60,"31–60 Days",
L366&lt;=90,"61–90 Days",
L366&lt;=180,"91–180 Days",
L366&lt;=365,"181–365 Days",
L366&gt;365,"365+ Days (High Risk)"
)</f>
        <v>365+ Days (High Risk)</v>
      </c>
      <c r="P366">
        <f t="shared" si="41"/>
        <v>0</v>
      </c>
      <c r="Q366" s="3">
        <f t="shared" ca="1" si="39"/>
        <v>6624.35</v>
      </c>
    </row>
    <row r="367" spans="1:17" x14ac:dyDescent="0.25">
      <c r="A367" t="s">
        <v>371</v>
      </c>
      <c r="B367" t="s">
        <v>909</v>
      </c>
      <c r="C367" s="1">
        <v>45780</v>
      </c>
      <c r="D367" s="1">
        <v>45825</v>
      </c>
      <c r="E367">
        <v>5486.28</v>
      </c>
      <c r="F367" t="s">
        <v>912</v>
      </c>
      <c r="G367" t="s">
        <v>918</v>
      </c>
      <c r="H367" s="1">
        <v>45825</v>
      </c>
      <c r="I367" t="s">
        <v>919</v>
      </c>
      <c r="J367" t="b">
        <f t="shared" si="35"/>
        <v>0</v>
      </c>
      <c r="K367" s="3">
        <f t="shared" ca="1" si="36"/>
        <v>45</v>
      </c>
      <c r="L367" s="3">
        <f t="shared" ca="1" si="37"/>
        <v>0</v>
      </c>
      <c r="M367" t="str">
        <f t="shared" ca="1" si="38"/>
        <v>On Time</v>
      </c>
      <c r="N367">
        <f t="shared" si="40"/>
        <v>0</v>
      </c>
      <c r="O367" t="str" cm="1">
        <f t="array" aca="1" ref="O367" ca="1">_xlfn.IFS(
L367&lt;=0,"Not Due",
L367&lt;=30,"0–30 Days",
L367&lt;=60,"31–60 Days",
L367&lt;=90,"61–90 Days",
L367&lt;=180,"91–180 Days",
L367&lt;=365,"181–365 Days",
L367&gt;365,"365+ Days (High Risk)"
)</f>
        <v>Not Due</v>
      </c>
      <c r="P367">
        <f t="shared" si="41"/>
        <v>5486.28</v>
      </c>
      <c r="Q367" s="3">
        <f t="shared" ca="1" si="39"/>
        <v>0</v>
      </c>
    </row>
    <row r="368" spans="1:17" x14ac:dyDescent="0.25">
      <c r="A368" t="s">
        <v>372</v>
      </c>
      <c r="B368" t="s">
        <v>909</v>
      </c>
      <c r="C368" s="1">
        <v>45360</v>
      </c>
      <c r="D368" s="1">
        <v>45405</v>
      </c>
      <c r="E368">
        <v>5222.63</v>
      </c>
      <c r="F368" t="s">
        <v>913</v>
      </c>
      <c r="G368" t="s">
        <v>918</v>
      </c>
      <c r="H368" s="1">
        <v>45405</v>
      </c>
      <c r="I368" t="s">
        <v>919</v>
      </c>
      <c r="J368" t="b">
        <f t="shared" si="35"/>
        <v>0</v>
      </c>
      <c r="K368" s="3">
        <f t="shared" ca="1" si="36"/>
        <v>45</v>
      </c>
      <c r="L368" s="3">
        <f t="shared" ca="1" si="37"/>
        <v>0</v>
      </c>
      <c r="M368" t="str">
        <f t="shared" ca="1" si="38"/>
        <v>On Time</v>
      </c>
      <c r="N368">
        <f t="shared" si="40"/>
        <v>0</v>
      </c>
      <c r="O368" t="str" cm="1">
        <f t="array" aca="1" ref="O368" ca="1">_xlfn.IFS(
L368&lt;=0,"Not Due",
L368&lt;=30,"0–30 Days",
L368&lt;=60,"31–60 Days",
L368&lt;=90,"61–90 Days",
L368&lt;=180,"91–180 Days",
L368&lt;=365,"181–365 Days",
L368&gt;365,"365+ Days (High Risk)"
)</f>
        <v>Not Due</v>
      </c>
      <c r="P368">
        <f t="shared" si="41"/>
        <v>5222.63</v>
      </c>
      <c r="Q368" s="3">
        <f t="shared" ca="1" si="39"/>
        <v>0</v>
      </c>
    </row>
    <row r="369" spans="1:17" x14ac:dyDescent="0.25">
      <c r="A369" t="s">
        <v>373</v>
      </c>
      <c r="B369" t="s">
        <v>908</v>
      </c>
      <c r="C369" s="1">
        <v>45334</v>
      </c>
      <c r="D369" s="1">
        <v>45379</v>
      </c>
      <c r="E369">
        <v>7734.3</v>
      </c>
      <c r="F369" t="s">
        <v>912</v>
      </c>
      <c r="G369" t="s">
        <v>918</v>
      </c>
      <c r="H369" s="1">
        <v>45379</v>
      </c>
      <c r="I369" t="s">
        <v>919</v>
      </c>
      <c r="J369" t="b">
        <f t="shared" si="35"/>
        <v>0</v>
      </c>
      <c r="K369" s="3">
        <f t="shared" ca="1" si="36"/>
        <v>45</v>
      </c>
      <c r="L369" s="3">
        <f t="shared" ca="1" si="37"/>
        <v>0</v>
      </c>
      <c r="M369" t="str">
        <f t="shared" ca="1" si="38"/>
        <v>On Time</v>
      </c>
      <c r="N369">
        <f t="shared" si="40"/>
        <v>0</v>
      </c>
      <c r="O369" t="str" cm="1">
        <f t="array" aca="1" ref="O369" ca="1">_xlfn.IFS(
L369&lt;=0,"Not Due",
L369&lt;=30,"0–30 Days",
L369&lt;=60,"31–60 Days",
L369&lt;=90,"61–90 Days",
L369&lt;=180,"91–180 Days",
L369&lt;=365,"181–365 Days",
L369&gt;365,"365+ Days (High Risk)"
)</f>
        <v>Not Due</v>
      </c>
      <c r="P369">
        <f t="shared" si="41"/>
        <v>7734.3</v>
      </c>
      <c r="Q369" s="3">
        <f t="shared" ca="1" si="39"/>
        <v>0</v>
      </c>
    </row>
    <row r="370" spans="1:17" x14ac:dyDescent="0.25">
      <c r="A370" t="s">
        <v>374</v>
      </c>
      <c r="B370" t="s">
        <v>910</v>
      </c>
      <c r="C370" s="1">
        <v>44945</v>
      </c>
      <c r="D370" s="1">
        <v>44990</v>
      </c>
      <c r="E370">
        <v>6594.56</v>
      </c>
      <c r="F370" t="s">
        <v>914</v>
      </c>
      <c r="G370" t="s">
        <v>916</v>
      </c>
      <c r="I370" t="s">
        <v>919</v>
      </c>
      <c r="J370" t="b">
        <f t="shared" si="35"/>
        <v>1</v>
      </c>
      <c r="K370" s="3">
        <f t="shared" ca="1" si="36"/>
        <v>1106</v>
      </c>
      <c r="L370" s="3">
        <f t="shared" ca="1" si="37"/>
        <v>1061</v>
      </c>
      <c r="M370" t="str">
        <f t="shared" ca="1" si="38"/>
        <v>Overdue</v>
      </c>
      <c r="N370">
        <f t="shared" si="40"/>
        <v>6594.56</v>
      </c>
      <c r="O370" t="str" cm="1">
        <f t="array" aca="1" ref="O370" ca="1">_xlfn.IFS(
L370&lt;=0,"Not Due",
L370&lt;=30,"0–30 Days",
L370&lt;=60,"31–60 Days",
L370&lt;=90,"61–90 Days",
L370&lt;=180,"91–180 Days",
L370&lt;=365,"181–365 Days",
L370&gt;365,"365+ Days (High Risk)"
)</f>
        <v>365+ Days (High Risk)</v>
      </c>
      <c r="P370">
        <f t="shared" si="41"/>
        <v>0</v>
      </c>
      <c r="Q370" s="3">
        <f t="shared" ca="1" si="39"/>
        <v>6594.56</v>
      </c>
    </row>
    <row r="371" spans="1:17" x14ac:dyDescent="0.25">
      <c r="A371" t="s">
        <v>375</v>
      </c>
      <c r="B371" t="s">
        <v>906</v>
      </c>
      <c r="C371" s="1">
        <v>45263</v>
      </c>
      <c r="D371" s="1">
        <v>45308</v>
      </c>
      <c r="E371">
        <v>1143.42</v>
      </c>
      <c r="F371" t="s">
        <v>912</v>
      </c>
      <c r="G371" t="s">
        <v>917</v>
      </c>
      <c r="I371" t="s">
        <v>919</v>
      </c>
      <c r="J371" t="b">
        <f t="shared" si="35"/>
        <v>1</v>
      </c>
      <c r="K371" s="3">
        <f t="shared" ca="1" si="36"/>
        <v>788</v>
      </c>
      <c r="L371" s="3">
        <f t="shared" ca="1" si="37"/>
        <v>743</v>
      </c>
      <c r="M371" t="str">
        <f t="shared" ca="1" si="38"/>
        <v>Overdue</v>
      </c>
      <c r="N371">
        <f t="shared" si="40"/>
        <v>1143.42</v>
      </c>
      <c r="O371" t="str" cm="1">
        <f t="array" aca="1" ref="O371" ca="1">_xlfn.IFS(
L371&lt;=0,"Not Due",
L371&lt;=30,"0–30 Days",
L371&lt;=60,"31–60 Days",
L371&lt;=90,"61–90 Days",
L371&lt;=180,"91–180 Days",
L371&lt;=365,"181–365 Days",
L371&gt;365,"365+ Days (High Risk)"
)</f>
        <v>365+ Days (High Risk)</v>
      </c>
      <c r="P371">
        <f t="shared" si="41"/>
        <v>0</v>
      </c>
      <c r="Q371" s="3">
        <f t="shared" ca="1" si="39"/>
        <v>1143.42</v>
      </c>
    </row>
    <row r="372" spans="1:17" x14ac:dyDescent="0.25">
      <c r="A372" t="s">
        <v>376</v>
      </c>
      <c r="B372" t="s">
        <v>909</v>
      </c>
      <c r="C372" s="1">
        <v>45693</v>
      </c>
      <c r="D372" s="1">
        <v>45738</v>
      </c>
      <c r="E372">
        <v>4928.9399999999996</v>
      </c>
      <c r="F372" t="s">
        <v>913</v>
      </c>
      <c r="G372" t="s">
        <v>916</v>
      </c>
      <c r="I372" t="s">
        <v>919</v>
      </c>
      <c r="J372" t="b">
        <f t="shared" si="35"/>
        <v>1</v>
      </c>
      <c r="K372" s="3">
        <f t="shared" ca="1" si="36"/>
        <v>358</v>
      </c>
      <c r="L372" s="3">
        <f t="shared" ca="1" si="37"/>
        <v>313</v>
      </c>
      <c r="M372" t="str">
        <f t="shared" ca="1" si="38"/>
        <v>Overdue</v>
      </c>
      <c r="N372">
        <f t="shared" si="40"/>
        <v>4928.9399999999996</v>
      </c>
      <c r="O372" t="str" cm="1">
        <f t="array" aca="1" ref="O372" ca="1">_xlfn.IFS(
L372&lt;=0,"Not Due",
L372&lt;=30,"0–30 Days",
L372&lt;=60,"31–60 Days",
L372&lt;=90,"61–90 Days",
L372&lt;=180,"91–180 Days",
L372&lt;=365,"181–365 Days",
L372&gt;365,"365+ Days (High Risk)"
)</f>
        <v>181–365 Days</v>
      </c>
      <c r="P372">
        <f t="shared" si="41"/>
        <v>0</v>
      </c>
      <c r="Q372" s="3">
        <f t="shared" ca="1" si="39"/>
        <v>4928.9399999999996</v>
      </c>
    </row>
    <row r="373" spans="1:17" x14ac:dyDescent="0.25">
      <c r="A373" t="s">
        <v>377</v>
      </c>
      <c r="B373" t="s">
        <v>910</v>
      </c>
      <c r="C373" s="1">
        <v>44928</v>
      </c>
      <c r="D373" s="1">
        <v>44973</v>
      </c>
      <c r="E373">
        <v>1440.91</v>
      </c>
      <c r="F373" t="s">
        <v>914</v>
      </c>
      <c r="G373" t="s">
        <v>916</v>
      </c>
      <c r="I373" t="s">
        <v>919</v>
      </c>
      <c r="J373" t="b">
        <f t="shared" si="35"/>
        <v>1</v>
      </c>
      <c r="K373" s="3">
        <f t="shared" ca="1" si="36"/>
        <v>1123</v>
      </c>
      <c r="L373" s="3">
        <f t="shared" ca="1" si="37"/>
        <v>1078</v>
      </c>
      <c r="M373" t="str">
        <f t="shared" ca="1" si="38"/>
        <v>Overdue</v>
      </c>
      <c r="N373">
        <f t="shared" si="40"/>
        <v>1440.91</v>
      </c>
      <c r="O373" t="str" cm="1">
        <f t="array" aca="1" ref="O373" ca="1">_xlfn.IFS(
L373&lt;=0,"Not Due",
L373&lt;=30,"0–30 Days",
L373&lt;=60,"31–60 Days",
L373&lt;=90,"61–90 Days",
L373&lt;=180,"91–180 Days",
L373&lt;=365,"181–365 Days",
L373&gt;365,"365+ Days (High Risk)"
)</f>
        <v>365+ Days (High Risk)</v>
      </c>
      <c r="P373">
        <f t="shared" si="41"/>
        <v>0</v>
      </c>
      <c r="Q373" s="3">
        <f t="shared" ca="1" si="39"/>
        <v>1440.91</v>
      </c>
    </row>
    <row r="374" spans="1:17" x14ac:dyDescent="0.25">
      <c r="A374" t="s">
        <v>378</v>
      </c>
      <c r="B374" t="s">
        <v>906</v>
      </c>
      <c r="C374" s="1">
        <v>45414</v>
      </c>
      <c r="D374" s="1">
        <v>45459</v>
      </c>
      <c r="E374">
        <v>1344.24</v>
      </c>
      <c r="F374" t="s">
        <v>915</v>
      </c>
      <c r="G374" t="s">
        <v>918</v>
      </c>
      <c r="H374" s="1">
        <v>45459</v>
      </c>
      <c r="I374" t="s">
        <v>919</v>
      </c>
      <c r="J374" t="b">
        <f t="shared" si="35"/>
        <v>0</v>
      </c>
      <c r="K374" s="3">
        <f t="shared" ca="1" si="36"/>
        <v>45</v>
      </c>
      <c r="L374" s="3">
        <f t="shared" ca="1" si="37"/>
        <v>0</v>
      </c>
      <c r="M374" t="str">
        <f t="shared" ca="1" si="38"/>
        <v>On Time</v>
      </c>
      <c r="N374">
        <f t="shared" si="40"/>
        <v>0</v>
      </c>
      <c r="O374" t="str" cm="1">
        <f t="array" aca="1" ref="O374" ca="1">_xlfn.IFS(
L374&lt;=0,"Not Due",
L374&lt;=30,"0–30 Days",
L374&lt;=60,"31–60 Days",
L374&lt;=90,"61–90 Days",
L374&lt;=180,"91–180 Days",
L374&lt;=365,"181–365 Days",
L374&gt;365,"365+ Days (High Risk)"
)</f>
        <v>Not Due</v>
      </c>
      <c r="P374">
        <f t="shared" si="41"/>
        <v>1344.24</v>
      </c>
      <c r="Q374" s="3">
        <f t="shared" ca="1" si="39"/>
        <v>0</v>
      </c>
    </row>
    <row r="375" spans="1:17" x14ac:dyDescent="0.25">
      <c r="A375" t="s">
        <v>379</v>
      </c>
      <c r="B375" t="s">
        <v>910</v>
      </c>
      <c r="C375" s="1">
        <v>45643</v>
      </c>
      <c r="D375" s="1">
        <v>45688</v>
      </c>
      <c r="E375">
        <v>7404.05</v>
      </c>
      <c r="F375" t="s">
        <v>915</v>
      </c>
      <c r="G375" t="s">
        <v>918</v>
      </c>
      <c r="H375" s="1">
        <v>45688</v>
      </c>
      <c r="I375" t="s">
        <v>919</v>
      </c>
      <c r="J375" t="b">
        <f t="shared" si="35"/>
        <v>0</v>
      </c>
      <c r="K375" s="3">
        <f t="shared" ca="1" si="36"/>
        <v>45</v>
      </c>
      <c r="L375" s="3">
        <f t="shared" ca="1" si="37"/>
        <v>0</v>
      </c>
      <c r="M375" t="str">
        <f t="shared" ca="1" si="38"/>
        <v>On Time</v>
      </c>
      <c r="N375">
        <f t="shared" si="40"/>
        <v>0</v>
      </c>
      <c r="O375" t="str" cm="1">
        <f t="array" aca="1" ref="O375" ca="1">_xlfn.IFS(
L375&lt;=0,"Not Due",
L375&lt;=30,"0–30 Days",
L375&lt;=60,"31–60 Days",
L375&lt;=90,"61–90 Days",
L375&lt;=180,"91–180 Days",
L375&lt;=365,"181–365 Days",
L375&gt;365,"365+ Days (High Risk)"
)</f>
        <v>Not Due</v>
      </c>
      <c r="P375">
        <f t="shared" si="41"/>
        <v>7404.05</v>
      </c>
      <c r="Q375" s="3">
        <f t="shared" ca="1" si="39"/>
        <v>0</v>
      </c>
    </row>
    <row r="376" spans="1:17" x14ac:dyDescent="0.25">
      <c r="A376" t="s">
        <v>380</v>
      </c>
      <c r="B376" t="s">
        <v>906</v>
      </c>
      <c r="C376" s="1">
        <v>45133</v>
      </c>
      <c r="D376" s="1">
        <v>45178</v>
      </c>
      <c r="E376">
        <v>6282.2</v>
      </c>
      <c r="F376" t="s">
        <v>911</v>
      </c>
      <c r="G376" t="s">
        <v>918</v>
      </c>
      <c r="H376" s="1">
        <v>45178</v>
      </c>
      <c r="I376" t="s">
        <v>919</v>
      </c>
      <c r="J376" t="b">
        <f t="shared" si="35"/>
        <v>0</v>
      </c>
      <c r="K376" s="3">
        <f t="shared" ca="1" si="36"/>
        <v>45</v>
      </c>
      <c r="L376" s="3">
        <f t="shared" ca="1" si="37"/>
        <v>0</v>
      </c>
      <c r="M376" t="str">
        <f t="shared" ca="1" si="38"/>
        <v>On Time</v>
      </c>
      <c r="N376">
        <f t="shared" si="40"/>
        <v>0</v>
      </c>
      <c r="O376" t="str" cm="1">
        <f t="array" aca="1" ref="O376" ca="1">_xlfn.IFS(
L376&lt;=0,"Not Due",
L376&lt;=30,"0–30 Days",
L376&lt;=60,"31–60 Days",
L376&lt;=90,"61–90 Days",
L376&lt;=180,"91–180 Days",
L376&lt;=365,"181–365 Days",
L376&gt;365,"365+ Days (High Risk)"
)</f>
        <v>Not Due</v>
      </c>
      <c r="P376">
        <f t="shared" si="41"/>
        <v>6282.2</v>
      </c>
      <c r="Q376" s="3">
        <f t="shared" ca="1" si="39"/>
        <v>0</v>
      </c>
    </row>
    <row r="377" spans="1:17" x14ac:dyDescent="0.25">
      <c r="A377" t="s">
        <v>381</v>
      </c>
      <c r="B377" t="s">
        <v>910</v>
      </c>
      <c r="C377" s="1">
        <v>45453</v>
      </c>
      <c r="D377" s="1">
        <v>45498</v>
      </c>
      <c r="E377">
        <v>1827.23</v>
      </c>
      <c r="F377" t="s">
        <v>914</v>
      </c>
      <c r="G377" t="s">
        <v>916</v>
      </c>
      <c r="I377" t="s">
        <v>919</v>
      </c>
      <c r="J377" t="b">
        <f t="shared" si="35"/>
        <v>1</v>
      </c>
      <c r="K377" s="3">
        <f t="shared" ca="1" si="36"/>
        <v>598</v>
      </c>
      <c r="L377" s="3">
        <f t="shared" ca="1" si="37"/>
        <v>553</v>
      </c>
      <c r="M377" t="str">
        <f t="shared" ca="1" si="38"/>
        <v>Overdue</v>
      </c>
      <c r="N377">
        <f t="shared" si="40"/>
        <v>1827.23</v>
      </c>
      <c r="O377" t="str" cm="1">
        <f t="array" aca="1" ref="O377" ca="1">_xlfn.IFS(
L377&lt;=0,"Not Due",
L377&lt;=30,"0–30 Days",
L377&lt;=60,"31–60 Days",
L377&lt;=90,"61–90 Days",
L377&lt;=180,"91–180 Days",
L377&lt;=365,"181–365 Days",
L377&gt;365,"365+ Days (High Risk)"
)</f>
        <v>365+ Days (High Risk)</v>
      </c>
      <c r="P377">
        <f t="shared" si="41"/>
        <v>0</v>
      </c>
      <c r="Q377" s="3">
        <f t="shared" ca="1" si="39"/>
        <v>1827.23</v>
      </c>
    </row>
    <row r="378" spans="1:17" x14ac:dyDescent="0.25">
      <c r="A378" t="s">
        <v>382</v>
      </c>
      <c r="B378" t="s">
        <v>910</v>
      </c>
      <c r="C378" s="1">
        <v>45055</v>
      </c>
      <c r="D378" s="1">
        <v>45100</v>
      </c>
      <c r="E378">
        <v>5781.9</v>
      </c>
      <c r="F378" t="s">
        <v>912</v>
      </c>
      <c r="G378" t="s">
        <v>918</v>
      </c>
      <c r="H378" s="1">
        <v>45100</v>
      </c>
      <c r="I378" t="s">
        <v>919</v>
      </c>
      <c r="J378" t="b">
        <f t="shared" si="35"/>
        <v>0</v>
      </c>
      <c r="K378" s="3">
        <f t="shared" ca="1" si="36"/>
        <v>45</v>
      </c>
      <c r="L378" s="3">
        <f t="shared" ca="1" si="37"/>
        <v>0</v>
      </c>
      <c r="M378" t="str">
        <f t="shared" ca="1" si="38"/>
        <v>On Time</v>
      </c>
      <c r="N378">
        <f t="shared" si="40"/>
        <v>0</v>
      </c>
      <c r="O378" t="str" cm="1">
        <f t="array" aca="1" ref="O378" ca="1">_xlfn.IFS(
L378&lt;=0,"Not Due",
L378&lt;=30,"0–30 Days",
L378&lt;=60,"31–60 Days",
L378&lt;=90,"61–90 Days",
L378&lt;=180,"91–180 Days",
L378&lt;=365,"181–365 Days",
L378&gt;365,"365+ Days (High Risk)"
)</f>
        <v>Not Due</v>
      </c>
      <c r="P378">
        <f t="shared" si="41"/>
        <v>5781.9</v>
      </c>
      <c r="Q378" s="3">
        <f t="shared" ca="1" si="39"/>
        <v>0</v>
      </c>
    </row>
    <row r="379" spans="1:17" x14ac:dyDescent="0.25">
      <c r="A379" t="s">
        <v>383</v>
      </c>
      <c r="B379" t="s">
        <v>906</v>
      </c>
      <c r="C379" s="1">
        <v>45541</v>
      </c>
      <c r="D379" s="1">
        <v>45586</v>
      </c>
      <c r="E379">
        <v>3694.12</v>
      </c>
      <c r="F379" t="s">
        <v>914</v>
      </c>
      <c r="G379" t="s">
        <v>917</v>
      </c>
      <c r="I379" t="s">
        <v>919</v>
      </c>
      <c r="J379" t="b">
        <f t="shared" si="35"/>
        <v>1</v>
      </c>
      <c r="K379" s="3">
        <f t="shared" ca="1" si="36"/>
        <v>510</v>
      </c>
      <c r="L379" s="3">
        <f t="shared" ca="1" si="37"/>
        <v>465</v>
      </c>
      <c r="M379" t="str">
        <f t="shared" ca="1" si="38"/>
        <v>Overdue</v>
      </c>
      <c r="N379">
        <f t="shared" si="40"/>
        <v>3694.12</v>
      </c>
      <c r="O379" t="str" cm="1">
        <f t="array" aca="1" ref="O379" ca="1">_xlfn.IFS(
L379&lt;=0,"Not Due",
L379&lt;=30,"0–30 Days",
L379&lt;=60,"31–60 Days",
L379&lt;=90,"61–90 Days",
L379&lt;=180,"91–180 Days",
L379&lt;=365,"181–365 Days",
L379&gt;365,"365+ Days (High Risk)"
)</f>
        <v>365+ Days (High Risk)</v>
      </c>
      <c r="P379">
        <f t="shared" si="41"/>
        <v>0</v>
      </c>
      <c r="Q379" s="3">
        <f t="shared" ca="1" si="39"/>
        <v>3694.12</v>
      </c>
    </row>
    <row r="380" spans="1:17" x14ac:dyDescent="0.25">
      <c r="A380" t="s">
        <v>384</v>
      </c>
      <c r="B380" t="s">
        <v>910</v>
      </c>
      <c r="C380" s="1">
        <v>45572</v>
      </c>
      <c r="D380" s="1">
        <v>45617</v>
      </c>
      <c r="E380">
        <v>2959.37</v>
      </c>
      <c r="F380" t="s">
        <v>915</v>
      </c>
      <c r="G380" t="s">
        <v>918</v>
      </c>
      <c r="H380" s="1">
        <v>45617</v>
      </c>
      <c r="I380" t="s">
        <v>919</v>
      </c>
      <c r="J380" t="b">
        <f t="shared" si="35"/>
        <v>0</v>
      </c>
      <c r="K380" s="3">
        <f t="shared" ca="1" si="36"/>
        <v>45</v>
      </c>
      <c r="L380" s="3">
        <f t="shared" ca="1" si="37"/>
        <v>0</v>
      </c>
      <c r="M380" t="str">
        <f t="shared" ca="1" si="38"/>
        <v>On Time</v>
      </c>
      <c r="N380">
        <f t="shared" si="40"/>
        <v>0</v>
      </c>
      <c r="O380" t="str" cm="1">
        <f t="array" aca="1" ref="O380" ca="1">_xlfn.IFS(
L380&lt;=0,"Not Due",
L380&lt;=30,"0–30 Days",
L380&lt;=60,"31–60 Days",
L380&lt;=90,"61–90 Days",
L380&lt;=180,"91–180 Days",
L380&lt;=365,"181–365 Days",
L380&gt;365,"365+ Days (High Risk)"
)</f>
        <v>Not Due</v>
      </c>
      <c r="P380">
        <f t="shared" si="41"/>
        <v>2959.37</v>
      </c>
      <c r="Q380" s="3">
        <f t="shared" ca="1" si="39"/>
        <v>0</v>
      </c>
    </row>
    <row r="381" spans="1:17" x14ac:dyDescent="0.25">
      <c r="A381" t="s">
        <v>385</v>
      </c>
      <c r="B381" t="s">
        <v>910</v>
      </c>
      <c r="C381" s="1">
        <v>45301</v>
      </c>
      <c r="D381" s="1">
        <v>45346</v>
      </c>
      <c r="E381">
        <v>7215.28</v>
      </c>
      <c r="F381" t="s">
        <v>911</v>
      </c>
      <c r="G381" t="s">
        <v>918</v>
      </c>
      <c r="H381" s="1">
        <v>45346</v>
      </c>
      <c r="I381" t="s">
        <v>919</v>
      </c>
      <c r="J381" t="b">
        <f t="shared" si="35"/>
        <v>0</v>
      </c>
      <c r="K381" s="3">
        <f t="shared" ca="1" si="36"/>
        <v>45</v>
      </c>
      <c r="L381" s="3">
        <f t="shared" ca="1" si="37"/>
        <v>0</v>
      </c>
      <c r="M381" t="str">
        <f t="shared" ca="1" si="38"/>
        <v>On Time</v>
      </c>
      <c r="N381">
        <f t="shared" si="40"/>
        <v>0</v>
      </c>
      <c r="O381" t="str" cm="1">
        <f t="array" aca="1" ref="O381" ca="1">_xlfn.IFS(
L381&lt;=0,"Not Due",
L381&lt;=30,"0–30 Days",
L381&lt;=60,"31–60 Days",
L381&lt;=90,"61–90 Days",
L381&lt;=180,"91–180 Days",
L381&lt;=365,"181–365 Days",
L381&gt;365,"365+ Days (High Risk)"
)</f>
        <v>Not Due</v>
      </c>
      <c r="P381">
        <f t="shared" si="41"/>
        <v>7215.28</v>
      </c>
      <c r="Q381" s="3">
        <f t="shared" ca="1" si="39"/>
        <v>0</v>
      </c>
    </row>
    <row r="382" spans="1:17" x14ac:dyDescent="0.25">
      <c r="A382" t="s">
        <v>386</v>
      </c>
      <c r="B382" t="s">
        <v>909</v>
      </c>
      <c r="C382" s="1">
        <v>45288</v>
      </c>
      <c r="D382" s="1">
        <v>45333</v>
      </c>
      <c r="E382">
        <v>5960.58</v>
      </c>
      <c r="F382" t="s">
        <v>911</v>
      </c>
      <c r="G382" t="s">
        <v>918</v>
      </c>
      <c r="H382" s="1">
        <v>45333</v>
      </c>
      <c r="I382" t="s">
        <v>919</v>
      </c>
      <c r="J382" t="b">
        <f t="shared" si="35"/>
        <v>0</v>
      </c>
      <c r="K382" s="3">
        <f t="shared" ca="1" si="36"/>
        <v>45</v>
      </c>
      <c r="L382" s="3">
        <f t="shared" ca="1" si="37"/>
        <v>0</v>
      </c>
      <c r="M382" t="str">
        <f t="shared" ca="1" si="38"/>
        <v>On Time</v>
      </c>
      <c r="N382">
        <f t="shared" si="40"/>
        <v>0</v>
      </c>
      <c r="O382" t="str" cm="1">
        <f t="array" aca="1" ref="O382" ca="1">_xlfn.IFS(
L382&lt;=0,"Not Due",
L382&lt;=30,"0–30 Days",
L382&lt;=60,"31–60 Days",
L382&lt;=90,"61–90 Days",
L382&lt;=180,"91–180 Days",
L382&lt;=365,"181–365 Days",
L382&gt;365,"365+ Days (High Risk)"
)</f>
        <v>Not Due</v>
      </c>
      <c r="P382">
        <f t="shared" si="41"/>
        <v>5960.58</v>
      </c>
      <c r="Q382" s="3">
        <f t="shared" ca="1" si="39"/>
        <v>0</v>
      </c>
    </row>
    <row r="383" spans="1:17" x14ac:dyDescent="0.25">
      <c r="A383" t="s">
        <v>387</v>
      </c>
      <c r="B383" t="s">
        <v>909</v>
      </c>
      <c r="C383" s="1">
        <v>45401</v>
      </c>
      <c r="D383" s="1">
        <v>45446</v>
      </c>
      <c r="E383">
        <v>1497.93</v>
      </c>
      <c r="F383" t="s">
        <v>913</v>
      </c>
      <c r="G383" t="s">
        <v>918</v>
      </c>
      <c r="H383" s="1">
        <v>45446</v>
      </c>
      <c r="I383" t="s">
        <v>919</v>
      </c>
      <c r="J383" t="b">
        <f t="shared" si="35"/>
        <v>0</v>
      </c>
      <c r="K383" s="3">
        <f t="shared" ca="1" si="36"/>
        <v>45</v>
      </c>
      <c r="L383" s="3">
        <f t="shared" ca="1" si="37"/>
        <v>0</v>
      </c>
      <c r="M383" t="str">
        <f t="shared" ca="1" si="38"/>
        <v>On Time</v>
      </c>
      <c r="N383">
        <f t="shared" si="40"/>
        <v>0</v>
      </c>
      <c r="O383" t="str" cm="1">
        <f t="array" aca="1" ref="O383" ca="1">_xlfn.IFS(
L383&lt;=0,"Not Due",
L383&lt;=30,"0–30 Days",
L383&lt;=60,"31–60 Days",
L383&lt;=90,"61–90 Days",
L383&lt;=180,"91–180 Days",
L383&lt;=365,"181–365 Days",
L383&gt;365,"365+ Days (High Risk)"
)</f>
        <v>Not Due</v>
      </c>
      <c r="P383">
        <f t="shared" si="41"/>
        <v>1497.93</v>
      </c>
      <c r="Q383" s="3">
        <f t="shared" ca="1" si="39"/>
        <v>0</v>
      </c>
    </row>
    <row r="384" spans="1:17" x14ac:dyDescent="0.25">
      <c r="A384" t="s">
        <v>388</v>
      </c>
      <c r="B384" t="s">
        <v>910</v>
      </c>
      <c r="C384" s="1">
        <v>45518</v>
      </c>
      <c r="D384" s="1">
        <v>45563</v>
      </c>
      <c r="E384">
        <v>2691.8</v>
      </c>
      <c r="F384" t="s">
        <v>915</v>
      </c>
      <c r="G384" t="s">
        <v>916</v>
      </c>
      <c r="I384" t="s">
        <v>919</v>
      </c>
      <c r="J384" t="b">
        <f t="shared" si="35"/>
        <v>1</v>
      </c>
      <c r="K384" s="3">
        <f t="shared" ca="1" si="36"/>
        <v>533</v>
      </c>
      <c r="L384" s="3">
        <f t="shared" ca="1" si="37"/>
        <v>488</v>
      </c>
      <c r="M384" t="str">
        <f t="shared" ca="1" si="38"/>
        <v>Overdue</v>
      </c>
      <c r="N384">
        <f t="shared" si="40"/>
        <v>2691.8</v>
      </c>
      <c r="O384" t="str" cm="1">
        <f t="array" aca="1" ref="O384" ca="1">_xlfn.IFS(
L384&lt;=0,"Not Due",
L384&lt;=30,"0–30 Days",
L384&lt;=60,"31–60 Days",
L384&lt;=90,"61–90 Days",
L384&lt;=180,"91–180 Days",
L384&lt;=365,"181–365 Days",
L384&gt;365,"365+ Days (High Risk)"
)</f>
        <v>365+ Days (High Risk)</v>
      </c>
      <c r="P384">
        <f t="shared" si="41"/>
        <v>0</v>
      </c>
      <c r="Q384" s="3">
        <f t="shared" ca="1" si="39"/>
        <v>2691.8</v>
      </c>
    </row>
    <row r="385" spans="1:17" x14ac:dyDescent="0.25">
      <c r="A385" t="s">
        <v>389</v>
      </c>
      <c r="B385" t="s">
        <v>909</v>
      </c>
      <c r="C385" s="1">
        <v>45148</v>
      </c>
      <c r="D385" s="1">
        <v>45193</v>
      </c>
      <c r="E385">
        <v>607.58000000000004</v>
      </c>
      <c r="F385" t="s">
        <v>913</v>
      </c>
      <c r="G385" t="s">
        <v>917</v>
      </c>
      <c r="I385" t="s">
        <v>919</v>
      </c>
      <c r="J385" t="b">
        <f t="shared" si="35"/>
        <v>1</v>
      </c>
      <c r="K385" s="3">
        <f t="shared" ca="1" si="36"/>
        <v>903</v>
      </c>
      <c r="L385" s="3">
        <f t="shared" ca="1" si="37"/>
        <v>858</v>
      </c>
      <c r="M385" t="str">
        <f t="shared" ca="1" si="38"/>
        <v>Overdue</v>
      </c>
      <c r="N385">
        <f t="shared" si="40"/>
        <v>607.58000000000004</v>
      </c>
      <c r="O385" t="str" cm="1">
        <f t="array" aca="1" ref="O385" ca="1">_xlfn.IFS(
L385&lt;=0,"Not Due",
L385&lt;=30,"0–30 Days",
L385&lt;=60,"31–60 Days",
L385&lt;=90,"61–90 Days",
L385&lt;=180,"91–180 Days",
L385&lt;=365,"181–365 Days",
L385&gt;365,"365+ Days (High Risk)"
)</f>
        <v>365+ Days (High Risk)</v>
      </c>
      <c r="P385">
        <f t="shared" si="41"/>
        <v>0</v>
      </c>
      <c r="Q385" s="3">
        <f t="shared" ca="1" si="39"/>
        <v>607.58000000000004</v>
      </c>
    </row>
    <row r="386" spans="1:17" x14ac:dyDescent="0.25">
      <c r="A386" t="s">
        <v>390</v>
      </c>
      <c r="B386" t="s">
        <v>909</v>
      </c>
      <c r="C386" s="1">
        <v>45124</v>
      </c>
      <c r="D386" s="1">
        <v>45169</v>
      </c>
      <c r="E386">
        <v>6330.55</v>
      </c>
      <c r="F386" t="s">
        <v>912</v>
      </c>
      <c r="G386" t="s">
        <v>917</v>
      </c>
      <c r="I386" t="s">
        <v>919</v>
      </c>
      <c r="J386" t="b">
        <f t="shared" ref="J386:J449" si="42">ISBLANK(H386)</f>
        <v>1</v>
      </c>
      <c r="K386" s="3">
        <f t="shared" ref="K386:K449" ca="1" si="43">IF(G386="Received",
IF(H386="",TODAY()-C386,H386-C386),
TODAY()-C386)</f>
        <v>927</v>
      </c>
      <c r="L386" s="3">
        <f t="shared" ref="L386:L449" ca="1" si="44">IF(N386=0,0,TODAY()-D386)</f>
        <v>882</v>
      </c>
      <c r="M386" t="str">
        <f t="shared" ref="M386:M449" ca="1" si="45">IF(L386&gt;0,"Overdue","On Time")</f>
        <v>Overdue</v>
      </c>
      <c r="N386">
        <f t="shared" si="40"/>
        <v>6330.55</v>
      </c>
      <c r="O386" t="str" cm="1">
        <f t="array" aca="1" ref="O386" ca="1">_xlfn.IFS(
L386&lt;=0,"Not Due",
L386&lt;=30,"0–30 Days",
L386&lt;=60,"31–60 Days",
L386&lt;=90,"61–90 Days",
L386&lt;=180,"91–180 Days",
L386&lt;=365,"181–365 Days",
L386&gt;365,"365+ Days (High Risk)"
)</f>
        <v>365+ Days (High Risk)</v>
      </c>
      <c r="P386">
        <f t="shared" si="41"/>
        <v>0</v>
      </c>
      <c r="Q386" s="3">
        <f t="shared" ref="Q386:Q449" ca="1" si="46">IF(L386&gt;0, N386, 0)</f>
        <v>6330.55</v>
      </c>
    </row>
    <row r="387" spans="1:17" x14ac:dyDescent="0.25">
      <c r="A387" t="s">
        <v>391</v>
      </c>
      <c r="B387" t="s">
        <v>906</v>
      </c>
      <c r="C387" s="1">
        <v>45056</v>
      </c>
      <c r="D387" s="1">
        <v>45101</v>
      </c>
      <c r="E387">
        <v>3116.61</v>
      </c>
      <c r="F387" t="s">
        <v>915</v>
      </c>
      <c r="G387" t="s">
        <v>917</v>
      </c>
      <c r="I387" t="s">
        <v>919</v>
      </c>
      <c r="J387" t="b">
        <f t="shared" si="42"/>
        <v>1</v>
      </c>
      <c r="K387" s="3">
        <f t="shared" ca="1" si="43"/>
        <v>995</v>
      </c>
      <c r="L387" s="3">
        <f t="shared" ca="1" si="44"/>
        <v>950</v>
      </c>
      <c r="M387" t="str">
        <f t="shared" ca="1" si="45"/>
        <v>Overdue</v>
      </c>
      <c r="N387">
        <f t="shared" ref="N387:N450" si="47">IF(G387="Received",0,E387)</f>
        <v>3116.61</v>
      </c>
      <c r="O387" t="str" cm="1">
        <f t="array" aca="1" ref="O387" ca="1">_xlfn.IFS(
L387&lt;=0,"Not Due",
L387&lt;=30,"0–30 Days",
L387&lt;=60,"31–60 Days",
L387&lt;=90,"61–90 Days",
L387&lt;=180,"91–180 Days",
L387&lt;=365,"181–365 Days",
L387&gt;365,"365+ Days (High Risk)"
)</f>
        <v>365+ Days (High Risk)</v>
      </c>
      <c r="P387">
        <f t="shared" ref="P387:P450" si="48">E387-N387</f>
        <v>0</v>
      </c>
      <c r="Q387" s="3">
        <f t="shared" ca="1" si="46"/>
        <v>3116.61</v>
      </c>
    </row>
    <row r="388" spans="1:17" x14ac:dyDescent="0.25">
      <c r="A388" t="s">
        <v>392</v>
      </c>
      <c r="B388" t="s">
        <v>907</v>
      </c>
      <c r="C388" s="1">
        <v>44947</v>
      </c>
      <c r="D388" s="1">
        <v>44992</v>
      </c>
      <c r="E388">
        <v>3804.81</v>
      </c>
      <c r="F388" t="s">
        <v>914</v>
      </c>
      <c r="G388" t="s">
        <v>917</v>
      </c>
      <c r="I388" t="s">
        <v>919</v>
      </c>
      <c r="J388" t="b">
        <f t="shared" si="42"/>
        <v>1</v>
      </c>
      <c r="K388" s="3">
        <f t="shared" ca="1" si="43"/>
        <v>1104</v>
      </c>
      <c r="L388" s="3">
        <f t="shared" ca="1" si="44"/>
        <v>1059</v>
      </c>
      <c r="M388" t="str">
        <f t="shared" ca="1" si="45"/>
        <v>Overdue</v>
      </c>
      <c r="N388">
        <f t="shared" si="47"/>
        <v>3804.81</v>
      </c>
      <c r="O388" t="str" cm="1">
        <f t="array" aca="1" ref="O388" ca="1">_xlfn.IFS(
L388&lt;=0,"Not Due",
L388&lt;=30,"0–30 Days",
L388&lt;=60,"31–60 Days",
L388&lt;=90,"61–90 Days",
L388&lt;=180,"91–180 Days",
L388&lt;=365,"181–365 Days",
L388&gt;365,"365+ Days (High Risk)"
)</f>
        <v>365+ Days (High Risk)</v>
      </c>
      <c r="P388">
        <f t="shared" si="48"/>
        <v>0</v>
      </c>
      <c r="Q388" s="3">
        <f t="shared" ca="1" si="46"/>
        <v>3804.81</v>
      </c>
    </row>
    <row r="389" spans="1:17" x14ac:dyDescent="0.25">
      <c r="A389" t="s">
        <v>393</v>
      </c>
      <c r="B389" t="s">
        <v>910</v>
      </c>
      <c r="C389" s="1">
        <v>45039</v>
      </c>
      <c r="D389" s="1">
        <v>45084</v>
      </c>
      <c r="E389">
        <v>4514.3</v>
      </c>
      <c r="F389" t="s">
        <v>915</v>
      </c>
      <c r="G389" t="s">
        <v>918</v>
      </c>
      <c r="H389" s="1">
        <v>45084</v>
      </c>
      <c r="I389" t="s">
        <v>919</v>
      </c>
      <c r="J389" t="b">
        <f t="shared" si="42"/>
        <v>0</v>
      </c>
      <c r="K389" s="3">
        <f t="shared" ca="1" si="43"/>
        <v>45</v>
      </c>
      <c r="L389" s="3">
        <f t="shared" ca="1" si="44"/>
        <v>0</v>
      </c>
      <c r="M389" t="str">
        <f t="shared" ca="1" si="45"/>
        <v>On Time</v>
      </c>
      <c r="N389">
        <f t="shared" si="47"/>
        <v>0</v>
      </c>
      <c r="O389" t="str" cm="1">
        <f t="array" aca="1" ref="O389" ca="1">_xlfn.IFS(
L389&lt;=0,"Not Due",
L389&lt;=30,"0–30 Days",
L389&lt;=60,"31–60 Days",
L389&lt;=90,"61–90 Days",
L389&lt;=180,"91–180 Days",
L389&lt;=365,"181–365 Days",
L389&gt;365,"365+ Days (High Risk)"
)</f>
        <v>Not Due</v>
      </c>
      <c r="P389">
        <f t="shared" si="48"/>
        <v>4514.3</v>
      </c>
      <c r="Q389" s="3">
        <f t="shared" ca="1" si="46"/>
        <v>0</v>
      </c>
    </row>
    <row r="390" spans="1:17" x14ac:dyDescent="0.25">
      <c r="A390" t="s">
        <v>394</v>
      </c>
      <c r="B390" t="s">
        <v>907</v>
      </c>
      <c r="C390" s="1">
        <v>45498</v>
      </c>
      <c r="D390" s="1">
        <v>45543</v>
      </c>
      <c r="E390">
        <v>7847.61</v>
      </c>
      <c r="F390" t="s">
        <v>913</v>
      </c>
      <c r="G390" t="s">
        <v>917</v>
      </c>
      <c r="I390" t="s">
        <v>919</v>
      </c>
      <c r="J390" t="b">
        <f t="shared" si="42"/>
        <v>1</v>
      </c>
      <c r="K390" s="3">
        <f t="shared" ca="1" si="43"/>
        <v>553</v>
      </c>
      <c r="L390" s="3">
        <f t="shared" ca="1" si="44"/>
        <v>508</v>
      </c>
      <c r="M390" t="str">
        <f t="shared" ca="1" si="45"/>
        <v>Overdue</v>
      </c>
      <c r="N390">
        <f t="shared" si="47"/>
        <v>7847.61</v>
      </c>
      <c r="O390" t="str" cm="1">
        <f t="array" aca="1" ref="O390" ca="1">_xlfn.IFS(
L390&lt;=0,"Not Due",
L390&lt;=30,"0–30 Days",
L390&lt;=60,"31–60 Days",
L390&lt;=90,"61–90 Days",
L390&lt;=180,"91–180 Days",
L390&lt;=365,"181–365 Days",
L390&gt;365,"365+ Days (High Risk)"
)</f>
        <v>365+ Days (High Risk)</v>
      </c>
      <c r="P390">
        <f t="shared" si="48"/>
        <v>0</v>
      </c>
      <c r="Q390" s="3">
        <f t="shared" ca="1" si="46"/>
        <v>7847.61</v>
      </c>
    </row>
    <row r="391" spans="1:17" x14ac:dyDescent="0.25">
      <c r="A391" t="s">
        <v>395</v>
      </c>
      <c r="B391" t="s">
        <v>910</v>
      </c>
      <c r="C391" s="1">
        <v>45042</v>
      </c>
      <c r="D391" s="1">
        <v>45087</v>
      </c>
      <c r="E391">
        <v>6567.27</v>
      </c>
      <c r="F391" t="s">
        <v>911</v>
      </c>
      <c r="G391" t="s">
        <v>916</v>
      </c>
      <c r="I391" t="s">
        <v>919</v>
      </c>
      <c r="J391" t="b">
        <f t="shared" si="42"/>
        <v>1</v>
      </c>
      <c r="K391" s="3">
        <f t="shared" ca="1" si="43"/>
        <v>1009</v>
      </c>
      <c r="L391" s="3">
        <f t="shared" ca="1" si="44"/>
        <v>964</v>
      </c>
      <c r="M391" t="str">
        <f t="shared" ca="1" si="45"/>
        <v>Overdue</v>
      </c>
      <c r="N391">
        <f t="shared" si="47"/>
        <v>6567.27</v>
      </c>
      <c r="O391" t="str" cm="1">
        <f t="array" aca="1" ref="O391" ca="1">_xlfn.IFS(
L391&lt;=0,"Not Due",
L391&lt;=30,"0–30 Days",
L391&lt;=60,"31–60 Days",
L391&lt;=90,"61–90 Days",
L391&lt;=180,"91–180 Days",
L391&lt;=365,"181–365 Days",
L391&gt;365,"365+ Days (High Risk)"
)</f>
        <v>365+ Days (High Risk)</v>
      </c>
      <c r="P391">
        <f t="shared" si="48"/>
        <v>0</v>
      </c>
      <c r="Q391" s="3">
        <f t="shared" ca="1" si="46"/>
        <v>6567.27</v>
      </c>
    </row>
    <row r="392" spans="1:17" x14ac:dyDescent="0.25">
      <c r="A392" t="s">
        <v>396</v>
      </c>
      <c r="B392" t="s">
        <v>909</v>
      </c>
      <c r="C392" s="1">
        <v>45393</v>
      </c>
      <c r="D392" s="1">
        <v>45438</v>
      </c>
      <c r="E392">
        <v>993.97</v>
      </c>
      <c r="F392" t="s">
        <v>911</v>
      </c>
      <c r="G392" t="s">
        <v>918</v>
      </c>
      <c r="H392" s="1">
        <v>45438</v>
      </c>
      <c r="I392" t="s">
        <v>919</v>
      </c>
      <c r="J392" t="b">
        <f t="shared" si="42"/>
        <v>0</v>
      </c>
      <c r="K392" s="3">
        <f t="shared" ca="1" si="43"/>
        <v>45</v>
      </c>
      <c r="L392" s="3">
        <f t="shared" ca="1" si="44"/>
        <v>0</v>
      </c>
      <c r="M392" t="str">
        <f t="shared" ca="1" si="45"/>
        <v>On Time</v>
      </c>
      <c r="N392">
        <f t="shared" si="47"/>
        <v>0</v>
      </c>
      <c r="O392" t="str" cm="1">
        <f t="array" aca="1" ref="O392" ca="1">_xlfn.IFS(
L392&lt;=0,"Not Due",
L392&lt;=30,"0–30 Days",
L392&lt;=60,"31–60 Days",
L392&lt;=90,"61–90 Days",
L392&lt;=180,"91–180 Days",
L392&lt;=365,"181–365 Days",
L392&gt;365,"365+ Days (High Risk)"
)</f>
        <v>Not Due</v>
      </c>
      <c r="P392">
        <f t="shared" si="48"/>
        <v>993.97</v>
      </c>
      <c r="Q392" s="3">
        <f t="shared" ca="1" si="46"/>
        <v>0</v>
      </c>
    </row>
    <row r="393" spans="1:17" x14ac:dyDescent="0.25">
      <c r="A393" t="s">
        <v>397</v>
      </c>
      <c r="B393" t="s">
        <v>910</v>
      </c>
      <c r="C393" s="1">
        <v>45459</v>
      </c>
      <c r="D393" s="1">
        <v>45504</v>
      </c>
      <c r="E393">
        <v>1676.02</v>
      </c>
      <c r="F393" t="s">
        <v>911</v>
      </c>
      <c r="G393" t="s">
        <v>916</v>
      </c>
      <c r="I393" t="s">
        <v>919</v>
      </c>
      <c r="J393" t="b">
        <f t="shared" si="42"/>
        <v>1</v>
      </c>
      <c r="K393" s="3">
        <f t="shared" ca="1" si="43"/>
        <v>592</v>
      </c>
      <c r="L393" s="3">
        <f t="shared" ca="1" si="44"/>
        <v>547</v>
      </c>
      <c r="M393" t="str">
        <f t="shared" ca="1" si="45"/>
        <v>Overdue</v>
      </c>
      <c r="N393">
        <f t="shared" si="47"/>
        <v>1676.02</v>
      </c>
      <c r="O393" t="str" cm="1">
        <f t="array" aca="1" ref="O393" ca="1">_xlfn.IFS(
L393&lt;=0,"Not Due",
L393&lt;=30,"0–30 Days",
L393&lt;=60,"31–60 Days",
L393&lt;=90,"61–90 Days",
L393&lt;=180,"91–180 Days",
L393&lt;=365,"181–365 Days",
L393&gt;365,"365+ Days (High Risk)"
)</f>
        <v>365+ Days (High Risk)</v>
      </c>
      <c r="P393">
        <f t="shared" si="48"/>
        <v>0</v>
      </c>
      <c r="Q393" s="3">
        <f t="shared" ca="1" si="46"/>
        <v>1676.02</v>
      </c>
    </row>
    <row r="394" spans="1:17" x14ac:dyDescent="0.25">
      <c r="A394" t="s">
        <v>398</v>
      </c>
      <c r="B394" t="s">
        <v>908</v>
      </c>
      <c r="C394" s="1">
        <v>45446</v>
      </c>
      <c r="D394" s="1">
        <v>45491</v>
      </c>
      <c r="E394">
        <v>2327.48</v>
      </c>
      <c r="F394" t="s">
        <v>915</v>
      </c>
      <c r="G394" t="s">
        <v>917</v>
      </c>
      <c r="I394" t="s">
        <v>919</v>
      </c>
      <c r="J394" t="b">
        <f t="shared" si="42"/>
        <v>1</v>
      </c>
      <c r="K394" s="3">
        <f t="shared" ca="1" si="43"/>
        <v>605</v>
      </c>
      <c r="L394" s="3">
        <f t="shared" ca="1" si="44"/>
        <v>560</v>
      </c>
      <c r="M394" t="str">
        <f t="shared" ca="1" si="45"/>
        <v>Overdue</v>
      </c>
      <c r="N394">
        <f t="shared" si="47"/>
        <v>2327.48</v>
      </c>
      <c r="O394" t="str" cm="1">
        <f t="array" aca="1" ref="O394" ca="1">_xlfn.IFS(
L394&lt;=0,"Not Due",
L394&lt;=30,"0–30 Days",
L394&lt;=60,"31–60 Days",
L394&lt;=90,"61–90 Days",
L394&lt;=180,"91–180 Days",
L394&lt;=365,"181–365 Days",
L394&gt;365,"365+ Days (High Risk)"
)</f>
        <v>365+ Days (High Risk)</v>
      </c>
      <c r="P394">
        <f t="shared" si="48"/>
        <v>0</v>
      </c>
      <c r="Q394" s="3">
        <f t="shared" ca="1" si="46"/>
        <v>2327.48</v>
      </c>
    </row>
    <row r="395" spans="1:17" x14ac:dyDescent="0.25">
      <c r="A395" t="s">
        <v>399</v>
      </c>
      <c r="B395" t="s">
        <v>910</v>
      </c>
      <c r="C395" s="1">
        <v>45765</v>
      </c>
      <c r="D395" s="1">
        <v>45810</v>
      </c>
      <c r="E395">
        <v>3446.92</v>
      </c>
      <c r="F395" t="s">
        <v>915</v>
      </c>
      <c r="G395" t="s">
        <v>917</v>
      </c>
      <c r="I395" t="s">
        <v>919</v>
      </c>
      <c r="J395" t="b">
        <f t="shared" si="42"/>
        <v>1</v>
      </c>
      <c r="K395" s="3">
        <f t="shared" ca="1" si="43"/>
        <v>286</v>
      </c>
      <c r="L395" s="3">
        <f t="shared" ca="1" si="44"/>
        <v>241</v>
      </c>
      <c r="M395" t="str">
        <f t="shared" ca="1" si="45"/>
        <v>Overdue</v>
      </c>
      <c r="N395">
        <f t="shared" si="47"/>
        <v>3446.92</v>
      </c>
      <c r="O395" t="str" cm="1">
        <f t="array" aca="1" ref="O395" ca="1">_xlfn.IFS(
L395&lt;=0,"Not Due",
L395&lt;=30,"0–30 Days",
L395&lt;=60,"31–60 Days",
L395&lt;=90,"61–90 Days",
L395&lt;=180,"91–180 Days",
L395&lt;=365,"181–365 Days",
L395&gt;365,"365+ Days (High Risk)"
)</f>
        <v>181–365 Days</v>
      </c>
      <c r="P395">
        <f t="shared" si="48"/>
        <v>0</v>
      </c>
      <c r="Q395" s="3">
        <f t="shared" ca="1" si="46"/>
        <v>3446.92</v>
      </c>
    </row>
    <row r="396" spans="1:17" x14ac:dyDescent="0.25">
      <c r="A396" t="s">
        <v>400</v>
      </c>
      <c r="B396" t="s">
        <v>909</v>
      </c>
      <c r="C396" s="1">
        <v>45493</v>
      </c>
      <c r="D396" s="1">
        <v>45538</v>
      </c>
      <c r="E396">
        <v>7984.68</v>
      </c>
      <c r="F396" t="s">
        <v>911</v>
      </c>
      <c r="G396" t="s">
        <v>917</v>
      </c>
      <c r="I396" t="s">
        <v>919</v>
      </c>
      <c r="J396" t="b">
        <f t="shared" si="42"/>
        <v>1</v>
      </c>
      <c r="K396" s="3">
        <f t="shared" ca="1" si="43"/>
        <v>558</v>
      </c>
      <c r="L396" s="3">
        <f t="shared" ca="1" si="44"/>
        <v>513</v>
      </c>
      <c r="M396" t="str">
        <f t="shared" ca="1" si="45"/>
        <v>Overdue</v>
      </c>
      <c r="N396">
        <f t="shared" si="47"/>
        <v>7984.68</v>
      </c>
      <c r="O396" t="str" cm="1">
        <f t="array" aca="1" ref="O396" ca="1">_xlfn.IFS(
L396&lt;=0,"Not Due",
L396&lt;=30,"0–30 Days",
L396&lt;=60,"31–60 Days",
L396&lt;=90,"61–90 Days",
L396&lt;=180,"91–180 Days",
L396&lt;=365,"181–365 Days",
L396&gt;365,"365+ Days (High Risk)"
)</f>
        <v>365+ Days (High Risk)</v>
      </c>
      <c r="P396">
        <f t="shared" si="48"/>
        <v>0</v>
      </c>
      <c r="Q396" s="3">
        <f t="shared" ca="1" si="46"/>
        <v>7984.68</v>
      </c>
    </row>
    <row r="397" spans="1:17" x14ac:dyDescent="0.25">
      <c r="A397" t="s">
        <v>401</v>
      </c>
      <c r="B397" t="s">
        <v>906</v>
      </c>
      <c r="C397" s="1">
        <v>45314</v>
      </c>
      <c r="D397" s="1">
        <v>45359</v>
      </c>
      <c r="E397">
        <v>6686.26</v>
      </c>
      <c r="F397" t="s">
        <v>914</v>
      </c>
      <c r="G397" t="s">
        <v>916</v>
      </c>
      <c r="I397" t="s">
        <v>919</v>
      </c>
      <c r="J397" t="b">
        <f t="shared" si="42"/>
        <v>1</v>
      </c>
      <c r="K397" s="3">
        <f t="shared" ca="1" si="43"/>
        <v>737</v>
      </c>
      <c r="L397" s="3">
        <f t="shared" ca="1" si="44"/>
        <v>692</v>
      </c>
      <c r="M397" t="str">
        <f t="shared" ca="1" si="45"/>
        <v>Overdue</v>
      </c>
      <c r="N397">
        <f t="shared" si="47"/>
        <v>6686.26</v>
      </c>
      <c r="O397" t="str" cm="1">
        <f t="array" aca="1" ref="O397" ca="1">_xlfn.IFS(
L397&lt;=0,"Not Due",
L397&lt;=30,"0–30 Days",
L397&lt;=60,"31–60 Days",
L397&lt;=90,"61–90 Days",
L397&lt;=180,"91–180 Days",
L397&lt;=365,"181–365 Days",
L397&gt;365,"365+ Days (High Risk)"
)</f>
        <v>365+ Days (High Risk)</v>
      </c>
      <c r="P397">
        <f t="shared" si="48"/>
        <v>0</v>
      </c>
      <c r="Q397" s="3">
        <f t="shared" ca="1" si="46"/>
        <v>6686.26</v>
      </c>
    </row>
    <row r="398" spans="1:17" x14ac:dyDescent="0.25">
      <c r="A398" t="s">
        <v>402</v>
      </c>
      <c r="B398" t="s">
        <v>906</v>
      </c>
      <c r="C398" s="1">
        <v>45778</v>
      </c>
      <c r="D398" s="1">
        <v>45823</v>
      </c>
      <c r="E398">
        <v>7289.46</v>
      </c>
      <c r="F398" t="s">
        <v>911</v>
      </c>
      <c r="G398" t="s">
        <v>917</v>
      </c>
      <c r="I398" t="s">
        <v>919</v>
      </c>
      <c r="J398" t="b">
        <f t="shared" si="42"/>
        <v>1</v>
      </c>
      <c r="K398" s="3">
        <f t="shared" ca="1" si="43"/>
        <v>273</v>
      </c>
      <c r="L398" s="3">
        <f t="shared" ca="1" si="44"/>
        <v>228</v>
      </c>
      <c r="M398" t="str">
        <f t="shared" ca="1" si="45"/>
        <v>Overdue</v>
      </c>
      <c r="N398">
        <f t="shared" si="47"/>
        <v>7289.46</v>
      </c>
      <c r="O398" t="str" cm="1">
        <f t="array" aca="1" ref="O398" ca="1">_xlfn.IFS(
L398&lt;=0,"Not Due",
L398&lt;=30,"0–30 Days",
L398&lt;=60,"31–60 Days",
L398&lt;=90,"61–90 Days",
L398&lt;=180,"91–180 Days",
L398&lt;=365,"181–365 Days",
L398&gt;365,"365+ Days (High Risk)"
)</f>
        <v>181–365 Days</v>
      </c>
      <c r="P398">
        <f t="shared" si="48"/>
        <v>0</v>
      </c>
      <c r="Q398" s="3">
        <f t="shared" ca="1" si="46"/>
        <v>7289.46</v>
      </c>
    </row>
    <row r="399" spans="1:17" x14ac:dyDescent="0.25">
      <c r="A399" t="s">
        <v>403</v>
      </c>
      <c r="B399" t="s">
        <v>910</v>
      </c>
      <c r="C399" s="1">
        <v>45740</v>
      </c>
      <c r="D399" s="1">
        <v>45785</v>
      </c>
      <c r="E399">
        <v>5288.29</v>
      </c>
      <c r="F399" t="s">
        <v>913</v>
      </c>
      <c r="G399" t="s">
        <v>917</v>
      </c>
      <c r="I399" t="s">
        <v>919</v>
      </c>
      <c r="J399" t="b">
        <f t="shared" si="42"/>
        <v>1</v>
      </c>
      <c r="K399" s="3">
        <f t="shared" ca="1" si="43"/>
        <v>311</v>
      </c>
      <c r="L399" s="3">
        <f t="shared" ca="1" si="44"/>
        <v>266</v>
      </c>
      <c r="M399" t="str">
        <f t="shared" ca="1" si="45"/>
        <v>Overdue</v>
      </c>
      <c r="N399">
        <f t="shared" si="47"/>
        <v>5288.29</v>
      </c>
      <c r="O399" t="str" cm="1">
        <f t="array" aca="1" ref="O399" ca="1">_xlfn.IFS(
L399&lt;=0,"Not Due",
L399&lt;=30,"0–30 Days",
L399&lt;=60,"31–60 Days",
L399&lt;=90,"61–90 Days",
L399&lt;=180,"91–180 Days",
L399&lt;=365,"181–365 Days",
L399&gt;365,"365+ Days (High Risk)"
)</f>
        <v>181–365 Days</v>
      </c>
      <c r="P399">
        <f t="shared" si="48"/>
        <v>0</v>
      </c>
      <c r="Q399" s="3">
        <f t="shared" ca="1" si="46"/>
        <v>5288.29</v>
      </c>
    </row>
    <row r="400" spans="1:17" x14ac:dyDescent="0.25">
      <c r="A400" t="s">
        <v>404</v>
      </c>
      <c r="B400" t="s">
        <v>908</v>
      </c>
      <c r="C400" s="1">
        <v>45334</v>
      </c>
      <c r="D400" s="1">
        <v>45379</v>
      </c>
      <c r="E400">
        <v>5313.93</v>
      </c>
      <c r="F400" t="s">
        <v>912</v>
      </c>
      <c r="G400" t="s">
        <v>918</v>
      </c>
      <c r="H400" s="1">
        <v>45379</v>
      </c>
      <c r="I400" t="s">
        <v>919</v>
      </c>
      <c r="J400" t="b">
        <f t="shared" si="42"/>
        <v>0</v>
      </c>
      <c r="K400" s="3">
        <f t="shared" ca="1" si="43"/>
        <v>45</v>
      </c>
      <c r="L400" s="3">
        <f t="shared" ca="1" si="44"/>
        <v>0</v>
      </c>
      <c r="M400" t="str">
        <f t="shared" ca="1" si="45"/>
        <v>On Time</v>
      </c>
      <c r="N400">
        <f t="shared" si="47"/>
        <v>0</v>
      </c>
      <c r="O400" t="str" cm="1">
        <f t="array" aca="1" ref="O400" ca="1">_xlfn.IFS(
L400&lt;=0,"Not Due",
L400&lt;=30,"0–30 Days",
L400&lt;=60,"31–60 Days",
L400&lt;=90,"61–90 Days",
L400&lt;=180,"91–180 Days",
L400&lt;=365,"181–365 Days",
L400&gt;365,"365+ Days (High Risk)"
)</f>
        <v>Not Due</v>
      </c>
      <c r="P400">
        <f t="shared" si="48"/>
        <v>5313.93</v>
      </c>
      <c r="Q400" s="3">
        <f t="shared" ca="1" si="46"/>
        <v>0</v>
      </c>
    </row>
    <row r="401" spans="1:17" x14ac:dyDescent="0.25">
      <c r="A401" t="s">
        <v>405</v>
      </c>
      <c r="B401" t="s">
        <v>909</v>
      </c>
      <c r="C401" s="1">
        <v>45279</v>
      </c>
      <c r="D401" s="1">
        <v>45324</v>
      </c>
      <c r="E401">
        <v>2428.5300000000002</v>
      </c>
      <c r="F401" t="s">
        <v>912</v>
      </c>
      <c r="G401" t="s">
        <v>917</v>
      </c>
      <c r="I401" t="s">
        <v>919</v>
      </c>
      <c r="J401" t="b">
        <f t="shared" si="42"/>
        <v>1</v>
      </c>
      <c r="K401" s="3">
        <f t="shared" ca="1" si="43"/>
        <v>772</v>
      </c>
      <c r="L401" s="3">
        <f t="shared" ca="1" si="44"/>
        <v>727</v>
      </c>
      <c r="M401" t="str">
        <f t="shared" ca="1" si="45"/>
        <v>Overdue</v>
      </c>
      <c r="N401">
        <f t="shared" si="47"/>
        <v>2428.5300000000002</v>
      </c>
      <c r="O401" t="str" cm="1">
        <f t="array" aca="1" ref="O401" ca="1">_xlfn.IFS(
L401&lt;=0,"Not Due",
L401&lt;=30,"0–30 Days",
L401&lt;=60,"31–60 Days",
L401&lt;=90,"61–90 Days",
L401&lt;=180,"91–180 Days",
L401&lt;=365,"181–365 Days",
L401&gt;365,"365+ Days (High Risk)"
)</f>
        <v>365+ Days (High Risk)</v>
      </c>
      <c r="P401">
        <f t="shared" si="48"/>
        <v>0</v>
      </c>
      <c r="Q401" s="3">
        <f t="shared" ca="1" si="46"/>
        <v>2428.5300000000002</v>
      </c>
    </row>
    <row r="402" spans="1:17" x14ac:dyDescent="0.25">
      <c r="A402" t="s">
        <v>406</v>
      </c>
      <c r="B402" t="s">
        <v>910</v>
      </c>
      <c r="C402" s="1">
        <v>45299</v>
      </c>
      <c r="D402" s="1">
        <v>45344</v>
      </c>
      <c r="E402">
        <v>5026.8</v>
      </c>
      <c r="F402" t="s">
        <v>913</v>
      </c>
      <c r="G402" t="s">
        <v>918</v>
      </c>
      <c r="H402" s="1">
        <v>45344</v>
      </c>
      <c r="I402" t="s">
        <v>919</v>
      </c>
      <c r="J402" t="b">
        <f t="shared" si="42"/>
        <v>0</v>
      </c>
      <c r="K402" s="3">
        <f t="shared" ca="1" si="43"/>
        <v>45</v>
      </c>
      <c r="L402" s="3">
        <f t="shared" ca="1" si="44"/>
        <v>0</v>
      </c>
      <c r="M402" t="str">
        <f t="shared" ca="1" si="45"/>
        <v>On Time</v>
      </c>
      <c r="N402">
        <f t="shared" si="47"/>
        <v>0</v>
      </c>
      <c r="O402" t="str" cm="1">
        <f t="array" aca="1" ref="O402" ca="1">_xlfn.IFS(
L402&lt;=0,"Not Due",
L402&lt;=30,"0–30 Days",
L402&lt;=60,"31–60 Days",
L402&lt;=90,"61–90 Days",
L402&lt;=180,"91–180 Days",
L402&lt;=365,"181–365 Days",
L402&gt;365,"365+ Days (High Risk)"
)</f>
        <v>Not Due</v>
      </c>
      <c r="P402">
        <f t="shared" si="48"/>
        <v>5026.8</v>
      </c>
      <c r="Q402" s="3">
        <f t="shared" ca="1" si="46"/>
        <v>0</v>
      </c>
    </row>
    <row r="403" spans="1:17" x14ac:dyDescent="0.25">
      <c r="A403" t="s">
        <v>407</v>
      </c>
      <c r="B403" t="s">
        <v>910</v>
      </c>
      <c r="C403" s="1">
        <v>45343</v>
      </c>
      <c r="D403" s="1">
        <v>45388</v>
      </c>
      <c r="E403">
        <v>5625.72</v>
      </c>
      <c r="F403" t="s">
        <v>913</v>
      </c>
      <c r="G403" t="s">
        <v>917</v>
      </c>
      <c r="I403" t="s">
        <v>919</v>
      </c>
      <c r="J403" t="b">
        <f t="shared" si="42"/>
        <v>1</v>
      </c>
      <c r="K403" s="3">
        <f t="shared" ca="1" si="43"/>
        <v>708</v>
      </c>
      <c r="L403" s="3">
        <f t="shared" ca="1" si="44"/>
        <v>663</v>
      </c>
      <c r="M403" t="str">
        <f t="shared" ca="1" si="45"/>
        <v>Overdue</v>
      </c>
      <c r="N403">
        <f t="shared" si="47"/>
        <v>5625.72</v>
      </c>
      <c r="O403" t="str" cm="1">
        <f t="array" aca="1" ref="O403" ca="1">_xlfn.IFS(
L403&lt;=0,"Not Due",
L403&lt;=30,"0–30 Days",
L403&lt;=60,"31–60 Days",
L403&lt;=90,"61–90 Days",
L403&lt;=180,"91–180 Days",
L403&lt;=365,"181–365 Days",
L403&gt;365,"365+ Days (High Risk)"
)</f>
        <v>365+ Days (High Risk)</v>
      </c>
      <c r="P403">
        <f t="shared" si="48"/>
        <v>0</v>
      </c>
      <c r="Q403" s="3">
        <f t="shared" ca="1" si="46"/>
        <v>5625.72</v>
      </c>
    </row>
    <row r="404" spans="1:17" x14ac:dyDescent="0.25">
      <c r="A404" t="s">
        <v>408</v>
      </c>
      <c r="B404" t="s">
        <v>910</v>
      </c>
      <c r="C404" s="1">
        <v>45399</v>
      </c>
      <c r="D404" s="1">
        <v>45444</v>
      </c>
      <c r="E404">
        <v>6108.32</v>
      </c>
      <c r="F404" t="s">
        <v>912</v>
      </c>
      <c r="G404" t="s">
        <v>918</v>
      </c>
      <c r="H404" s="1">
        <v>45444</v>
      </c>
      <c r="I404" t="s">
        <v>919</v>
      </c>
      <c r="J404" t="b">
        <f t="shared" si="42"/>
        <v>0</v>
      </c>
      <c r="K404" s="3">
        <f t="shared" ca="1" si="43"/>
        <v>45</v>
      </c>
      <c r="L404" s="3">
        <f t="shared" ca="1" si="44"/>
        <v>0</v>
      </c>
      <c r="M404" t="str">
        <f t="shared" ca="1" si="45"/>
        <v>On Time</v>
      </c>
      <c r="N404">
        <f t="shared" si="47"/>
        <v>0</v>
      </c>
      <c r="O404" t="str" cm="1">
        <f t="array" aca="1" ref="O404" ca="1">_xlfn.IFS(
L404&lt;=0,"Not Due",
L404&lt;=30,"0–30 Days",
L404&lt;=60,"31–60 Days",
L404&lt;=90,"61–90 Days",
L404&lt;=180,"91–180 Days",
L404&lt;=365,"181–365 Days",
L404&gt;365,"365+ Days (High Risk)"
)</f>
        <v>Not Due</v>
      </c>
      <c r="P404">
        <f t="shared" si="48"/>
        <v>6108.32</v>
      </c>
      <c r="Q404" s="3">
        <f t="shared" ca="1" si="46"/>
        <v>0</v>
      </c>
    </row>
    <row r="405" spans="1:17" x14ac:dyDescent="0.25">
      <c r="A405" t="s">
        <v>409</v>
      </c>
      <c r="B405" t="s">
        <v>909</v>
      </c>
      <c r="C405" s="1">
        <v>45593</v>
      </c>
      <c r="D405" s="1">
        <v>45638</v>
      </c>
      <c r="E405">
        <v>2878.51</v>
      </c>
      <c r="F405" t="s">
        <v>912</v>
      </c>
      <c r="G405" t="s">
        <v>918</v>
      </c>
      <c r="H405" s="1">
        <v>45638</v>
      </c>
      <c r="I405" t="s">
        <v>919</v>
      </c>
      <c r="J405" t="b">
        <f t="shared" si="42"/>
        <v>0</v>
      </c>
      <c r="K405" s="3">
        <f t="shared" ca="1" si="43"/>
        <v>45</v>
      </c>
      <c r="L405" s="3">
        <f t="shared" ca="1" si="44"/>
        <v>0</v>
      </c>
      <c r="M405" t="str">
        <f t="shared" ca="1" si="45"/>
        <v>On Time</v>
      </c>
      <c r="N405">
        <f t="shared" si="47"/>
        <v>0</v>
      </c>
      <c r="O405" t="str" cm="1">
        <f t="array" aca="1" ref="O405" ca="1">_xlfn.IFS(
L405&lt;=0,"Not Due",
L405&lt;=30,"0–30 Days",
L405&lt;=60,"31–60 Days",
L405&lt;=90,"61–90 Days",
L405&lt;=180,"91–180 Days",
L405&lt;=365,"181–365 Days",
L405&gt;365,"365+ Days (High Risk)"
)</f>
        <v>Not Due</v>
      </c>
      <c r="P405">
        <f t="shared" si="48"/>
        <v>2878.51</v>
      </c>
      <c r="Q405" s="3">
        <f t="shared" ca="1" si="46"/>
        <v>0</v>
      </c>
    </row>
    <row r="406" spans="1:17" x14ac:dyDescent="0.25">
      <c r="A406" t="s">
        <v>410</v>
      </c>
      <c r="B406" t="s">
        <v>908</v>
      </c>
      <c r="C406" s="1">
        <v>45111</v>
      </c>
      <c r="D406" s="1">
        <v>45156</v>
      </c>
      <c r="E406">
        <v>4123.71</v>
      </c>
      <c r="F406" t="s">
        <v>913</v>
      </c>
      <c r="G406" t="s">
        <v>917</v>
      </c>
      <c r="I406" t="s">
        <v>919</v>
      </c>
      <c r="J406" t="b">
        <f t="shared" si="42"/>
        <v>1</v>
      </c>
      <c r="K406" s="3">
        <f t="shared" ca="1" si="43"/>
        <v>940</v>
      </c>
      <c r="L406" s="3">
        <f t="shared" ca="1" si="44"/>
        <v>895</v>
      </c>
      <c r="M406" t="str">
        <f t="shared" ca="1" si="45"/>
        <v>Overdue</v>
      </c>
      <c r="N406">
        <f t="shared" si="47"/>
        <v>4123.71</v>
      </c>
      <c r="O406" t="str" cm="1">
        <f t="array" aca="1" ref="O406" ca="1">_xlfn.IFS(
L406&lt;=0,"Not Due",
L406&lt;=30,"0–30 Days",
L406&lt;=60,"31–60 Days",
L406&lt;=90,"61–90 Days",
L406&lt;=180,"91–180 Days",
L406&lt;=365,"181–365 Days",
L406&gt;365,"365+ Days (High Risk)"
)</f>
        <v>365+ Days (High Risk)</v>
      </c>
      <c r="P406">
        <f t="shared" si="48"/>
        <v>0</v>
      </c>
      <c r="Q406" s="3">
        <f t="shared" ca="1" si="46"/>
        <v>4123.71</v>
      </c>
    </row>
    <row r="407" spans="1:17" x14ac:dyDescent="0.25">
      <c r="A407" t="s">
        <v>411</v>
      </c>
      <c r="B407" t="s">
        <v>909</v>
      </c>
      <c r="C407" s="1">
        <v>45814</v>
      </c>
      <c r="D407" s="1">
        <v>45859</v>
      </c>
      <c r="E407">
        <v>6281.96</v>
      </c>
      <c r="F407" t="s">
        <v>915</v>
      </c>
      <c r="G407" t="s">
        <v>916</v>
      </c>
      <c r="I407" t="s">
        <v>919</v>
      </c>
      <c r="J407" t="b">
        <f t="shared" si="42"/>
        <v>1</v>
      </c>
      <c r="K407" s="3">
        <f t="shared" ca="1" si="43"/>
        <v>237</v>
      </c>
      <c r="L407" s="3">
        <f t="shared" ca="1" si="44"/>
        <v>192</v>
      </c>
      <c r="M407" t="str">
        <f t="shared" ca="1" si="45"/>
        <v>Overdue</v>
      </c>
      <c r="N407">
        <f t="shared" si="47"/>
        <v>6281.96</v>
      </c>
      <c r="O407" t="str" cm="1">
        <f t="array" aca="1" ref="O407" ca="1">_xlfn.IFS(
L407&lt;=0,"Not Due",
L407&lt;=30,"0–30 Days",
L407&lt;=60,"31–60 Days",
L407&lt;=90,"61–90 Days",
L407&lt;=180,"91–180 Days",
L407&lt;=365,"181–365 Days",
L407&gt;365,"365+ Days (High Risk)"
)</f>
        <v>181–365 Days</v>
      </c>
      <c r="P407">
        <f t="shared" si="48"/>
        <v>0</v>
      </c>
      <c r="Q407" s="3">
        <f t="shared" ca="1" si="46"/>
        <v>6281.96</v>
      </c>
    </row>
    <row r="408" spans="1:17" x14ac:dyDescent="0.25">
      <c r="A408" t="s">
        <v>412</v>
      </c>
      <c r="B408" t="s">
        <v>906</v>
      </c>
      <c r="C408" s="1">
        <v>45404</v>
      </c>
      <c r="D408" s="1">
        <v>45449</v>
      </c>
      <c r="E408">
        <v>5969.43</v>
      </c>
      <c r="F408" t="s">
        <v>914</v>
      </c>
      <c r="G408" t="s">
        <v>917</v>
      </c>
      <c r="I408" t="s">
        <v>919</v>
      </c>
      <c r="J408" t="b">
        <f t="shared" si="42"/>
        <v>1</v>
      </c>
      <c r="K408" s="3">
        <f t="shared" ca="1" si="43"/>
        <v>647</v>
      </c>
      <c r="L408" s="3">
        <f t="shared" ca="1" si="44"/>
        <v>602</v>
      </c>
      <c r="M408" t="str">
        <f t="shared" ca="1" si="45"/>
        <v>Overdue</v>
      </c>
      <c r="N408">
        <f t="shared" si="47"/>
        <v>5969.43</v>
      </c>
      <c r="O408" t="str" cm="1">
        <f t="array" aca="1" ref="O408" ca="1">_xlfn.IFS(
L408&lt;=0,"Not Due",
L408&lt;=30,"0–30 Days",
L408&lt;=60,"31–60 Days",
L408&lt;=90,"61–90 Days",
L408&lt;=180,"91–180 Days",
L408&lt;=365,"181–365 Days",
L408&gt;365,"365+ Days (High Risk)"
)</f>
        <v>365+ Days (High Risk)</v>
      </c>
      <c r="P408">
        <f t="shared" si="48"/>
        <v>0</v>
      </c>
      <c r="Q408" s="3">
        <f t="shared" ca="1" si="46"/>
        <v>5969.43</v>
      </c>
    </row>
    <row r="409" spans="1:17" x14ac:dyDescent="0.25">
      <c r="A409" t="s">
        <v>413</v>
      </c>
      <c r="B409" t="s">
        <v>906</v>
      </c>
      <c r="C409" s="1">
        <v>45658</v>
      </c>
      <c r="D409" s="1">
        <v>45703</v>
      </c>
      <c r="E409">
        <v>1704.24</v>
      </c>
      <c r="F409" t="s">
        <v>912</v>
      </c>
      <c r="G409" t="s">
        <v>916</v>
      </c>
      <c r="I409" t="s">
        <v>919</v>
      </c>
      <c r="J409" t="b">
        <f t="shared" si="42"/>
        <v>1</v>
      </c>
      <c r="K409" s="3">
        <f t="shared" ca="1" si="43"/>
        <v>393</v>
      </c>
      <c r="L409" s="3">
        <f t="shared" ca="1" si="44"/>
        <v>348</v>
      </c>
      <c r="M409" t="str">
        <f t="shared" ca="1" si="45"/>
        <v>Overdue</v>
      </c>
      <c r="N409">
        <f t="shared" si="47"/>
        <v>1704.24</v>
      </c>
      <c r="O409" t="str" cm="1">
        <f t="array" aca="1" ref="O409" ca="1">_xlfn.IFS(
L409&lt;=0,"Not Due",
L409&lt;=30,"0–30 Days",
L409&lt;=60,"31–60 Days",
L409&lt;=90,"61–90 Days",
L409&lt;=180,"91–180 Days",
L409&lt;=365,"181–365 Days",
L409&gt;365,"365+ Days (High Risk)"
)</f>
        <v>181–365 Days</v>
      </c>
      <c r="P409">
        <f t="shared" si="48"/>
        <v>0</v>
      </c>
      <c r="Q409" s="3">
        <f t="shared" ca="1" si="46"/>
        <v>1704.24</v>
      </c>
    </row>
    <row r="410" spans="1:17" x14ac:dyDescent="0.25">
      <c r="A410" t="s">
        <v>414</v>
      </c>
      <c r="B410" t="s">
        <v>907</v>
      </c>
      <c r="C410" s="1">
        <v>45637</v>
      </c>
      <c r="D410" s="1">
        <v>45682</v>
      </c>
      <c r="E410">
        <v>4385.67</v>
      </c>
      <c r="F410" t="s">
        <v>912</v>
      </c>
      <c r="G410" t="s">
        <v>916</v>
      </c>
      <c r="I410" t="s">
        <v>919</v>
      </c>
      <c r="J410" t="b">
        <f t="shared" si="42"/>
        <v>1</v>
      </c>
      <c r="K410" s="3">
        <f t="shared" ca="1" si="43"/>
        <v>414</v>
      </c>
      <c r="L410" s="3">
        <f t="shared" ca="1" si="44"/>
        <v>369</v>
      </c>
      <c r="M410" t="str">
        <f t="shared" ca="1" si="45"/>
        <v>Overdue</v>
      </c>
      <c r="N410">
        <f t="shared" si="47"/>
        <v>4385.67</v>
      </c>
      <c r="O410" t="str" cm="1">
        <f t="array" aca="1" ref="O410" ca="1">_xlfn.IFS(
L410&lt;=0,"Not Due",
L410&lt;=30,"0–30 Days",
L410&lt;=60,"31–60 Days",
L410&lt;=90,"61–90 Days",
L410&lt;=180,"91–180 Days",
L410&lt;=365,"181–365 Days",
L410&gt;365,"365+ Days (High Risk)"
)</f>
        <v>365+ Days (High Risk)</v>
      </c>
      <c r="P410">
        <f t="shared" si="48"/>
        <v>0</v>
      </c>
      <c r="Q410" s="3">
        <f t="shared" ca="1" si="46"/>
        <v>4385.67</v>
      </c>
    </row>
    <row r="411" spans="1:17" x14ac:dyDescent="0.25">
      <c r="A411" t="s">
        <v>415</v>
      </c>
      <c r="B411" t="s">
        <v>908</v>
      </c>
      <c r="C411" s="1">
        <v>45599</v>
      </c>
      <c r="D411" s="1">
        <v>45644</v>
      </c>
      <c r="E411">
        <v>6943.83</v>
      </c>
      <c r="F411" t="s">
        <v>911</v>
      </c>
      <c r="G411" t="s">
        <v>918</v>
      </c>
      <c r="H411" s="1">
        <v>45644</v>
      </c>
      <c r="I411" t="s">
        <v>919</v>
      </c>
      <c r="J411" t="b">
        <f t="shared" si="42"/>
        <v>0</v>
      </c>
      <c r="K411" s="3">
        <f t="shared" ca="1" si="43"/>
        <v>45</v>
      </c>
      <c r="L411" s="3">
        <f t="shared" ca="1" si="44"/>
        <v>0</v>
      </c>
      <c r="M411" t="str">
        <f t="shared" ca="1" si="45"/>
        <v>On Time</v>
      </c>
      <c r="N411">
        <f t="shared" si="47"/>
        <v>0</v>
      </c>
      <c r="O411" t="str" cm="1">
        <f t="array" aca="1" ref="O411" ca="1">_xlfn.IFS(
L411&lt;=0,"Not Due",
L411&lt;=30,"0–30 Days",
L411&lt;=60,"31–60 Days",
L411&lt;=90,"61–90 Days",
L411&lt;=180,"91–180 Days",
L411&lt;=365,"181–365 Days",
L411&gt;365,"365+ Days (High Risk)"
)</f>
        <v>Not Due</v>
      </c>
      <c r="P411">
        <f t="shared" si="48"/>
        <v>6943.83</v>
      </c>
      <c r="Q411" s="3">
        <f t="shared" ca="1" si="46"/>
        <v>0</v>
      </c>
    </row>
    <row r="412" spans="1:17" x14ac:dyDescent="0.25">
      <c r="A412" t="s">
        <v>416</v>
      </c>
      <c r="B412" t="s">
        <v>907</v>
      </c>
      <c r="C412" s="1">
        <v>45234</v>
      </c>
      <c r="D412" s="1">
        <v>45279</v>
      </c>
      <c r="E412">
        <v>2227.16</v>
      </c>
      <c r="F412" t="s">
        <v>915</v>
      </c>
      <c r="G412" t="s">
        <v>918</v>
      </c>
      <c r="H412" s="1">
        <v>45279</v>
      </c>
      <c r="I412" t="s">
        <v>919</v>
      </c>
      <c r="J412" t="b">
        <f t="shared" si="42"/>
        <v>0</v>
      </c>
      <c r="K412" s="3">
        <f t="shared" ca="1" si="43"/>
        <v>45</v>
      </c>
      <c r="L412" s="3">
        <f t="shared" ca="1" si="44"/>
        <v>0</v>
      </c>
      <c r="M412" t="str">
        <f t="shared" ca="1" si="45"/>
        <v>On Time</v>
      </c>
      <c r="N412">
        <f t="shared" si="47"/>
        <v>0</v>
      </c>
      <c r="O412" t="str" cm="1">
        <f t="array" aca="1" ref="O412" ca="1">_xlfn.IFS(
L412&lt;=0,"Not Due",
L412&lt;=30,"0–30 Days",
L412&lt;=60,"31–60 Days",
L412&lt;=90,"61–90 Days",
L412&lt;=180,"91–180 Days",
L412&lt;=365,"181–365 Days",
L412&gt;365,"365+ Days (High Risk)"
)</f>
        <v>Not Due</v>
      </c>
      <c r="P412">
        <f t="shared" si="48"/>
        <v>2227.16</v>
      </c>
      <c r="Q412" s="3">
        <f t="shared" ca="1" si="46"/>
        <v>0</v>
      </c>
    </row>
    <row r="413" spans="1:17" x14ac:dyDescent="0.25">
      <c r="A413" t="s">
        <v>417</v>
      </c>
      <c r="B413" t="s">
        <v>906</v>
      </c>
      <c r="C413" s="1">
        <v>44983</v>
      </c>
      <c r="D413" s="1">
        <v>45028</v>
      </c>
      <c r="E413">
        <v>4541.6400000000003</v>
      </c>
      <c r="F413" t="s">
        <v>913</v>
      </c>
      <c r="G413" t="s">
        <v>918</v>
      </c>
      <c r="H413" s="1">
        <v>45028</v>
      </c>
      <c r="I413" t="s">
        <v>919</v>
      </c>
      <c r="J413" t="b">
        <f t="shared" si="42"/>
        <v>0</v>
      </c>
      <c r="K413" s="3">
        <f t="shared" ca="1" si="43"/>
        <v>45</v>
      </c>
      <c r="L413" s="3">
        <f t="shared" ca="1" si="44"/>
        <v>0</v>
      </c>
      <c r="M413" t="str">
        <f t="shared" ca="1" si="45"/>
        <v>On Time</v>
      </c>
      <c r="N413">
        <f t="shared" si="47"/>
        <v>0</v>
      </c>
      <c r="O413" t="str" cm="1">
        <f t="array" aca="1" ref="O413" ca="1">_xlfn.IFS(
L413&lt;=0,"Not Due",
L413&lt;=30,"0–30 Days",
L413&lt;=60,"31–60 Days",
L413&lt;=90,"61–90 Days",
L413&lt;=180,"91–180 Days",
L413&lt;=365,"181–365 Days",
L413&gt;365,"365+ Days (High Risk)"
)</f>
        <v>Not Due</v>
      </c>
      <c r="P413">
        <f t="shared" si="48"/>
        <v>4541.6400000000003</v>
      </c>
      <c r="Q413" s="3">
        <f t="shared" ca="1" si="46"/>
        <v>0</v>
      </c>
    </row>
    <row r="414" spans="1:17" x14ac:dyDescent="0.25">
      <c r="A414" t="s">
        <v>418</v>
      </c>
      <c r="B414" t="s">
        <v>909</v>
      </c>
      <c r="C414" s="1">
        <v>45074</v>
      </c>
      <c r="D414" s="1">
        <v>45119</v>
      </c>
      <c r="E414">
        <v>4684.49</v>
      </c>
      <c r="F414" t="s">
        <v>914</v>
      </c>
      <c r="G414" t="s">
        <v>918</v>
      </c>
      <c r="H414" s="1">
        <v>45119</v>
      </c>
      <c r="I414" t="s">
        <v>919</v>
      </c>
      <c r="J414" t="b">
        <f t="shared" si="42"/>
        <v>0</v>
      </c>
      <c r="K414" s="3">
        <f t="shared" ca="1" si="43"/>
        <v>45</v>
      </c>
      <c r="L414" s="3">
        <f t="shared" ca="1" si="44"/>
        <v>0</v>
      </c>
      <c r="M414" t="str">
        <f t="shared" ca="1" si="45"/>
        <v>On Time</v>
      </c>
      <c r="N414">
        <f t="shared" si="47"/>
        <v>0</v>
      </c>
      <c r="O414" t="str" cm="1">
        <f t="array" aca="1" ref="O414" ca="1">_xlfn.IFS(
L414&lt;=0,"Not Due",
L414&lt;=30,"0–30 Days",
L414&lt;=60,"31–60 Days",
L414&lt;=90,"61–90 Days",
L414&lt;=180,"91–180 Days",
L414&lt;=365,"181–365 Days",
L414&gt;365,"365+ Days (High Risk)"
)</f>
        <v>Not Due</v>
      </c>
      <c r="P414">
        <f t="shared" si="48"/>
        <v>4684.49</v>
      </c>
      <c r="Q414" s="3">
        <f t="shared" ca="1" si="46"/>
        <v>0</v>
      </c>
    </row>
    <row r="415" spans="1:17" x14ac:dyDescent="0.25">
      <c r="A415" t="s">
        <v>419</v>
      </c>
      <c r="B415" t="s">
        <v>908</v>
      </c>
      <c r="C415" s="1">
        <v>45224</v>
      </c>
      <c r="D415" s="1">
        <v>45269</v>
      </c>
      <c r="E415">
        <v>2115.17</v>
      </c>
      <c r="F415" t="s">
        <v>915</v>
      </c>
      <c r="G415" t="s">
        <v>916</v>
      </c>
      <c r="I415" t="s">
        <v>919</v>
      </c>
      <c r="J415" t="b">
        <f t="shared" si="42"/>
        <v>1</v>
      </c>
      <c r="K415" s="3">
        <f t="shared" ca="1" si="43"/>
        <v>827</v>
      </c>
      <c r="L415" s="3">
        <f t="shared" ca="1" si="44"/>
        <v>782</v>
      </c>
      <c r="M415" t="str">
        <f t="shared" ca="1" si="45"/>
        <v>Overdue</v>
      </c>
      <c r="N415">
        <f t="shared" si="47"/>
        <v>2115.17</v>
      </c>
      <c r="O415" t="str" cm="1">
        <f t="array" aca="1" ref="O415" ca="1">_xlfn.IFS(
L415&lt;=0,"Not Due",
L415&lt;=30,"0–30 Days",
L415&lt;=60,"31–60 Days",
L415&lt;=90,"61–90 Days",
L415&lt;=180,"91–180 Days",
L415&lt;=365,"181–365 Days",
L415&gt;365,"365+ Days (High Risk)"
)</f>
        <v>365+ Days (High Risk)</v>
      </c>
      <c r="P415">
        <f t="shared" si="48"/>
        <v>0</v>
      </c>
      <c r="Q415" s="3">
        <f t="shared" ca="1" si="46"/>
        <v>2115.17</v>
      </c>
    </row>
    <row r="416" spans="1:17" x14ac:dyDescent="0.25">
      <c r="A416" t="s">
        <v>420</v>
      </c>
      <c r="B416" t="s">
        <v>907</v>
      </c>
      <c r="C416" s="1">
        <v>45784</v>
      </c>
      <c r="D416" s="1">
        <v>45829</v>
      </c>
      <c r="E416">
        <v>3323.86</v>
      </c>
      <c r="F416" t="s">
        <v>911</v>
      </c>
      <c r="G416" t="s">
        <v>917</v>
      </c>
      <c r="I416" t="s">
        <v>919</v>
      </c>
      <c r="J416" t="b">
        <f t="shared" si="42"/>
        <v>1</v>
      </c>
      <c r="K416" s="3">
        <f t="shared" ca="1" si="43"/>
        <v>267</v>
      </c>
      <c r="L416" s="3">
        <f t="shared" ca="1" si="44"/>
        <v>222</v>
      </c>
      <c r="M416" t="str">
        <f t="shared" ca="1" si="45"/>
        <v>Overdue</v>
      </c>
      <c r="N416">
        <f t="shared" si="47"/>
        <v>3323.86</v>
      </c>
      <c r="O416" t="str" cm="1">
        <f t="array" aca="1" ref="O416" ca="1">_xlfn.IFS(
L416&lt;=0,"Not Due",
L416&lt;=30,"0–30 Days",
L416&lt;=60,"31–60 Days",
L416&lt;=90,"61–90 Days",
L416&lt;=180,"91–180 Days",
L416&lt;=365,"181–365 Days",
L416&gt;365,"365+ Days (High Risk)"
)</f>
        <v>181–365 Days</v>
      </c>
      <c r="P416">
        <f t="shared" si="48"/>
        <v>0</v>
      </c>
      <c r="Q416" s="3">
        <f t="shared" ca="1" si="46"/>
        <v>3323.86</v>
      </c>
    </row>
    <row r="417" spans="1:17" x14ac:dyDescent="0.25">
      <c r="A417" t="s">
        <v>421</v>
      </c>
      <c r="B417" t="s">
        <v>908</v>
      </c>
      <c r="C417" s="1">
        <v>45364</v>
      </c>
      <c r="D417" s="1">
        <v>45409</v>
      </c>
      <c r="E417">
        <v>630.55999999999995</v>
      </c>
      <c r="F417" t="s">
        <v>912</v>
      </c>
      <c r="G417" t="s">
        <v>918</v>
      </c>
      <c r="H417" s="1">
        <v>45409</v>
      </c>
      <c r="I417" t="s">
        <v>919</v>
      </c>
      <c r="J417" t="b">
        <f t="shared" si="42"/>
        <v>0</v>
      </c>
      <c r="K417" s="3">
        <f t="shared" ca="1" si="43"/>
        <v>45</v>
      </c>
      <c r="L417" s="3">
        <f t="shared" ca="1" si="44"/>
        <v>0</v>
      </c>
      <c r="M417" t="str">
        <f t="shared" ca="1" si="45"/>
        <v>On Time</v>
      </c>
      <c r="N417">
        <f t="shared" si="47"/>
        <v>0</v>
      </c>
      <c r="O417" t="str" cm="1">
        <f t="array" aca="1" ref="O417" ca="1">_xlfn.IFS(
L417&lt;=0,"Not Due",
L417&lt;=30,"0–30 Days",
L417&lt;=60,"31–60 Days",
L417&lt;=90,"61–90 Days",
L417&lt;=180,"91–180 Days",
L417&lt;=365,"181–365 Days",
L417&gt;365,"365+ Days (High Risk)"
)</f>
        <v>Not Due</v>
      </c>
      <c r="P417">
        <f t="shared" si="48"/>
        <v>630.55999999999995</v>
      </c>
      <c r="Q417" s="3">
        <f t="shared" ca="1" si="46"/>
        <v>0</v>
      </c>
    </row>
    <row r="418" spans="1:17" x14ac:dyDescent="0.25">
      <c r="A418" t="s">
        <v>422</v>
      </c>
      <c r="B418" t="s">
        <v>910</v>
      </c>
      <c r="C418" s="1">
        <v>45580</v>
      </c>
      <c r="D418" s="1">
        <v>45625</v>
      </c>
      <c r="E418">
        <v>3609.1</v>
      </c>
      <c r="F418" t="s">
        <v>912</v>
      </c>
      <c r="G418" t="s">
        <v>917</v>
      </c>
      <c r="I418" t="s">
        <v>919</v>
      </c>
      <c r="J418" t="b">
        <f t="shared" si="42"/>
        <v>1</v>
      </c>
      <c r="K418" s="3">
        <f t="shared" ca="1" si="43"/>
        <v>471</v>
      </c>
      <c r="L418" s="3">
        <f t="shared" ca="1" si="44"/>
        <v>426</v>
      </c>
      <c r="M418" t="str">
        <f t="shared" ca="1" si="45"/>
        <v>Overdue</v>
      </c>
      <c r="N418">
        <f t="shared" si="47"/>
        <v>3609.1</v>
      </c>
      <c r="O418" t="str" cm="1">
        <f t="array" aca="1" ref="O418" ca="1">_xlfn.IFS(
L418&lt;=0,"Not Due",
L418&lt;=30,"0–30 Days",
L418&lt;=60,"31–60 Days",
L418&lt;=90,"61–90 Days",
L418&lt;=180,"91–180 Days",
L418&lt;=365,"181–365 Days",
L418&gt;365,"365+ Days (High Risk)"
)</f>
        <v>365+ Days (High Risk)</v>
      </c>
      <c r="P418">
        <f t="shared" si="48"/>
        <v>0</v>
      </c>
      <c r="Q418" s="3">
        <f t="shared" ca="1" si="46"/>
        <v>3609.1</v>
      </c>
    </row>
    <row r="419" spans="1:17" x14ac:dyDescent="0.25">
      <c r="A419" t="s">
        <v>423</v>
      </c>
      <c r="B419" t="s">
        <v>906</v>
      </c>
      <c r="C419" s="1">
        <v>45267</v>
      </c>
      <c r="D419" s="1">
        <v>45312</v>
      </c>
      <c r="E419">
        <v>4482.32</v>
      </c>
      <c r="F419" t="s">
        <v>911</v>
      </c>
      <c r="G419" t="s">
        <v>918</v>
      </c>
      <c r="H419" s="1">
        <v>45312</v>
      </c>
      <c r="I419" t="s">
        <v>919</v>
      </c>
      <c r="J419" t="b">
        <f t="shared" si="42"/>
        <v>0</v>
      </c>
      <c r="K419" s="3">
        <f t="shared" ca="1" si="43"/>
        <v>45</v>
      </c>
      <c r="L419" s="3">
        <f t="shared" ca="1" si="44"/>
        <v>0</v>
      </c>
      <c r="M419" t="str">
        <f t="shared" ca="1" si="45"/>
        <v>On Time</v>
      </c>
      <c r="N419">
        <f t="shared" si="47"/>
        <v>0</v>
      </c>
      <c r="O419" t="str" cm="1">
        <f t="array" aca="1" ref="O419" ca="1">_xlfn.IFS(
L419&lt;=0,"Not Due",
L419&lt;=30,"0–30 Days",
L419&lt;=60,"31–60 Days",
L419&lt;=90,"61–90 Days",
L419&lt;=180,"91–180 Days",
L419&lt;=365,"181–365 Days",
L419&gt;365,"365+ Days (High Risk)"
)</f>
        <v>Not Due</v>
      </c>
      <c r="P419">
        <f t="shared" si="48"/>
        <v>4482.32</v>
      </c>
      <c r="Q419" s="3">
        <f t="shared" ca="1" si="46"/>
        <v>0</v>
      </c>
    </row>
    <row r="420" spans="1:17" x14ac:dyDescent="0.25">
      <c r="A420" t="s">
        <v>424</v>
      </c>
      <c r="B420" t="s">
        <v>908</v>
      </c>
      <c r="C420" s="1">
        <v>45807</v>
      </c>
      <c r="D420" s="1">
        <v>45852</v>
      </c>
      <c r="E420">
        <v>3470.79</v>
      </c>
      <c r="F420" t="s">
        <v>911</v>
      </c>
      <c r="G420" t="s">
        <v>917</v>
      </c>
      <c r="I420" t="s">
        <v>919</v>
      </c>
      <c r="J420" t="b">
        <f t="shared" si="42"/>
        <v>1</v>
      </c>
      <c r="K420" s="3">
        <f t="shared" ca="1" si="43"/>
        <v>244</v>
      </c>
      <c r="L420" s="3">
        <f t="shared" ca="1" si="44"/>
        <v>199</v>
      </c>
      <c r="M420" t="str">
        <f t="shared" ca="1" si="45"/>
        <v>Overdue</v>
      </c>
      <c r="N420">
        <f t="shared" si="47"/>
        <v>3470.79</v>
      </c>
      <c r="O420" t="str" cm="1">
        <f t="array" aca="1" ref="O420" ca="1">_xlfn.IFS(
L420&lt;=0,"Not Due",
L420&lt;=30,"0–30 Days",
L420&lt;=60,"31–60 Days",
L420&lt;=90,"61–90 Days",
L420&lt;=180,"91–180 Days",
L420&lt;=365,"181–365 Days",
L420&gt;365,"365+ Days (High Risk)"
)</f>
        <v>181–365 Days</v>
      </c>
      <c r="P420">
        <f t="shared" si="48"/>
        <v>0</v>
      </c>
      <c r="Q420" s="3">
        <f t="shared" ca="1" si="46"/>
        <v>3470.79</v>
      </c>
    </row>
    <row r="421" spans="1:17" x14ac:dyDescent="0.25">
      <c r="A421" t="s">
        <v>425</v>
      </c>
      <c r="B421" t="s">
        <v>907</v>
      </c>
      <c r="C421" s="1">
        <v>45296</v>
      </c>
      <c r="D421" s="1">
        <v>45341</v>
      </c>
      <c r="E421">
        <v>6289.6</v>
      </c>
      <c r="F421" t="s">
        <v>915</v>
      </c>
      <c r="G421" t="s">
        <v>918</v>
      </c>
      <c r="H421" s="1">
        <v>45341</v>
      </c>
      <c r="I421" t="s">
        <v>919</v>
      </c>
      <c r="J421" t="b">
        <f t="shared" si="42"/>
        <v>0</v>
      </c>
      <c r="K421" s="3">
        <f t="shared" ca="1" si="43"/>
        <v>45</v>
      </c>
      <c r="L421" s="3">
        <f t="shared" ca="1" si="44"/>
        <v>0</v>
      </c>
      <c r="M421" t="str">
        <f t="shared" ca="1" si="45"/>
        <v>On Time</v>
      </c>
      <c r="N421">
        <f t="shared" si="47"/>
        <v>0</v>
      </c>
      <c r="O421" t="str" cm="1">
        <f t="array" aca="1" ref="O421" ca="1">_xlfn.IFS(
L421&lt;=0,"Not Due",
L421&lt;=30,"0–30 Days",
L421&lt;=60,"31–60 Days",
L421&lt;=90,"61–90 Days",
L421&lt;=180,"91–180 Days",
L421&lt;=365,"181–365 Days",
L421&gt;365,"365+ Days (High Risk)"
)</f>
        <v>Not Due</v>
      </c>
      <c r="P421">
        <f t="shared" si="48"/>
        <v>6289.6</v>
      </c>
      <c r="Q421" s="3">
        <f t="shared" ca="1" si="46"/>
        <v>0</v>
      </c>
    </row>
    <row r="422" spans="1:17" x14ac:dyDescent="0.25">
      <c r="A422" t="s">
        <v>426</v>
      </c>
      <c r="B422" t="s">
        <v>907</v>
      </c>
      <c r="C422" s="1">
        <v>45600</v>
      </c>
      <c r="D422" s="1">
        <v>45645</v>
      </c>
      <c r="E422">
        <v>4991.91</v>
      </c>
      <c r="F422" t="s">
        <v>915</v>
      </c>
      <c r="G422" t="s">
        <v>917</v>
      </c>
      <c r="I422" t="s">
        <v>919</v>
      </c>
      <c r="J422" t="b">
        <f t="shared" si="42"/>
        <v>1</v>
      </c>
      <c r="K422" s="3">
        <f t="shared" ca="1" si="43"/>
        <v>451</v>
      </c>
      <c r="L422" s="3">
        <f t="shared" ca="1" si="44"/>
        <v>406</v>
      </c>
      <c r="M422" t="str">
        <f t="shared" ca="1" si="45"/>
        <v>Overdue</v>
      </c>
      <c r="N422">
        <f t="shared" si="47"/>
        <v>4991.91</v>
      </c>
      <c r="O422" t="str" cm="1">
        <f t="array" aca="1" ref="O422" ca="1">_xlfn.IFS(
L422&lt;=0,"Not Due",
L422&lt;=30,"0–30 Days",
L422&lt;=60,"31–60 Days",
L422&lt;=90,"61–90 Days",
L422&lt;=180,"91–180 Days",
L422&lt;=365,"181–365 Days",
L422&gt;365,"365+ Days (High Risk)"
)</f>
        <v>365+ Days (High Risk)</v>
      </c>
      <c r="P422">
        <f t="shared" si="48"/>
        <v>0</v>
      </c>
      <c r="Q422" s="3">
        <f t="shared" ca="1" si="46"/>
        <v>4991.91</v>
      </c>
    </row>
    <row r="423" spans="1:17" x14ac:dyDescent="0.25">
      <c r="A423" t="s">
        <v>427</v>
      </c>
      <c r="B423" t="s">
        <v>910</v>
      </c>
      <c r="C423" s="1">
        <v>45362</v>
      </c>
      <c r="D423" s="1">
        <v>45407</v>
      </c>
      <c r="E423">
        <v>2777.5</v>
      </c>
      <c r="F423" t="s">
        <v>912</v>
      </c>
      <c r="G423" t="s">
        <v>917</v>
      </c>
      <c r="I423" t="s">
        <v>919</v>
      </c>
      <c r="J423" t="b">
        <f t="shared" si="42"/>
        <v>1</v>
      </c>
      <c r="K423" s="3">
        <f t="shared" ca="1" si="43"/>
        <v>689</v>
      </c>
      <c r="L423" s="3">
        <f t="shared" ca="1" si="44"/>
        <v>644</v>
      </c>
      <c r="M423" t="str">
        <f t="shared" ca="1" si="45"/>
        <v>Overdue</v>
      </c>
      <c r="N423">
        <f t="shared" si="47"/>
        <v>2777.5</v>
      </c>
      <c r="O423" t="str" cm="1">
        <f t="array" aca="1" ref="O423" ca="1">_xlfn.IFS(
L423&lt;=0,"Not Due",
L423&lt;=30,"0–30 Days",
L423&lt;=60,"31–60 Days",
L423&lt;=90,"61–90 Days",
L423&lt;=180,"91–180 Days",
L423&lt;=365,"181–365 Days",
L423&gt;365,"365+ Days (High Risk)"
)</f>
        <v>365+ Days (High Risk)</v>
      </c>
      <c r="P423">
        <f t="shared" si="48"/>
        <v>0</v>
      </c>
      <c r="Q423" s="3">
        <f t="shared" ca="1" si="46"/>
        <v>2777.5</v>
      </c>
    </row>
    <row r="424" spans="1:17" x14ac:dyDescent="0.25">
      <c r="A424" t="s">
        <v>428</v>
      </c>
      <c r="B424" t="s">
        <v>909</v>
      </c>
      <c r="C424" s="1">
        <v>45271</v>
      </c>
      <c r="D424" s="1">
        <v>45316</v>
      </c>
      <c r="E424">
        <v>3425.68</v>
      </c>
      <c r="F424" t="s">
        <v>914</v>
      </c>
      <c r="G424" t="s">
        <v>918</v>
      </c>
      <c r="H424" s="1">
        <v>45316</v>
      </c>
      <c r="I424" t="s">
        <v>919</v>
      </c>
      <c r="J424" t="b">
        <f t="shared" si="42"/>
        <v>0</v>
      </c>
      <c r="K424" s="3">
        <f t="shared" ca="1" si="43"/>
        <v>45</v>
      </c>
      <c r="L424" s="3">
        <f t="shared" ca="1" si="44"/>
        <v>0</v>
      </c>
      <c r="M424" t="str">
        <f t="shared" ca="1" si="45"/>
        <v>On Time</v>
      </c>
      <c r="N424">
        <f t="shared" si="47"/>
        <v>0</v>
      </c>
      <c r="O424" t="str" cm="1">
        <f t="array" aca="1" ref="O424" ca="1">_xlfn.IFS(
L424&lt;=0,"Not Due",
L424&lt;=30,"0–30 Days",
L424&lt;=60,"31–60 Days",
L424&lt;=90,"61–90 Days",
L424&lt;=180,"91–180 Days",
L424&lt;=365,"181–365 Days",
L424&gt;365,"365+ Days (High Risk)"
)</f>
        <v>Not Due</v>
      </c>
      <c r="P424">
        <f t="shared" si="48"/>
        <v>3425.68</v>
      </c>
      <c r="Q424" s="3">
        <f t="shared" ca="1" si="46"/>
        <v>0</v>
      </c>
    </row>
    <row r="425" spans="1:17" x14ac:dyDescent="0.25">
      <c r="A425" t="s">
        <v>429</v>
      </c>
      <c r="B425" t="s">
        <v>906</v>
      </c>
      <c r="C425" s="1">
        <v>45020</v>
      </c>
      <c r="D425" s="1">
        <v>45065</v>
      </c>
      <c r="E425">
        <v>2290.34</v>
      </c>
      <c r="F425" t="s">
        <v>913</v>
      </c>
      <c r="G425" t="s">
        <v>918</v>
      </c>
      <c r="H425" s="1">
        <v>45065</v>
      </c>
      <c r="I425" t="s">
        <v>919</v>
      </c>
      <c r="J425" t="b">
        <f t="shared" si="42"/>
        <v>0</v>
      </c>
      <c r="K425" s="3">
        <f t="shared" ca="1" si="43"/>
        <v>45</v>
      </c>
      <c r="L425" s="3">
        <f t="shared" ca="1" si="44"/>
        <v>0</v>
      </c>
      <c r="M425" t="str">
        <f t="shared" ca="1" si="45"/>
        <v>On Time</v>
      </c>
      <c r="N425">
        <f t="shared" si="47"/>
        <v>0</v>
      </c>
      <c r="O425" t="str" cm="1">
        <f t="array" aca="1" ref="O425" ca="1">_xlfn.IFS(
L425&lt;=0,"Not Due",
L425&lt;=30,"0–30 Days",
L425&lt;=60,"31–60 Days",
L425&lt;=90,"61–90 Days",
L425&lt;=180,"91–180 Days",
L425&lt;=365,"181–365 Days",
L425&gt;365,"365+ Days (High Risk)"
)</f>
        <v>Not Due</v>
      </c>
      <c r="P425">
        <f t="shared" si="48"/>
        <v>2290.34</v>
      </c>
      <c r="Q425" s="3">
        <f t="shared" ca="1" si="46"/>
        <v>0</v>
      </c>
    </row>
    <row r="426" spans="1:17" x14ac:dyDescent="0.25">
      <c r="A426" t="s">
        <v>430</v>
      </c>
      <c r="B426" t="s">
        <v>906</v>
      </c>
      <c r="C426" s="1">
        <v>45650</v>
      </c>
      <c r="D426" s="1">
        <v>45695</v>
      </c>
      <c r="E426">
        <v>5290.53</v>
      </c>
      <c r="F426" t="s">
        <v>914</v>
      </c>
      <c r="G426" t="s">
        <v>918</v>
      </c>
      <c r="H426" s="1">
        <v>45695</v>
      </c>
      <c r="I426" t="s">
        <v>919</v>
      </c>
      <c r="J426" t="b">
        <f t="shared" si="42"/>
        <v>0</v>
      </c>
      <c r="K426" s="3">
        <f t="shared" ca="1" si="43"/>
        <v>45</v>
      </c>
      <c r="L426" s="3">
        <f t="shared" ca="1" si="44"/>
        <v>0</v>
      </c>
      <c r="M426" t="str">
        <f t="shared" ca="1" si="45"/>
        <v>On Time</v>
      </c>
      <c r="N426">
        <f t="shared" si="47"/>
        <v>0</v>
      </c>
      <c r="O426" t="str" cm="1">
        <f t="array" aca="1" ref="O426" ca="1">_xlfn.IFS(
L426&lt;=0,"Not Due",
L426&lt;=30,"0–30 Days",
L426&lt;=60,"31–60 Days",
L426&lt;=90,"61–90 Days",
L426&lt;=180,"91–180 Days",
L426&lt;=365,"181–365 Days",
L426&gt;365,"365+ Days (High Risk)"
)</f>
        <v>Not Due</v>
      </c>
      <c r="P426">
        <f t="shared" si="48"/>
        <v>5290.53</v>
      </c>
      <c r="Q426" s="3">
        <f t="shared" ca="1" si="46"/>
        <v>0</v>
      </c>
    </row>
    <row r="427" spans="1:17" x14ac:dyDescent="0.25">
      <c r="A427" t="s">
        <v>431</v>
      </c>
      <c r="B427" t="s">
        <v>907</v>
      </c>
      <c r="C427" s="1">
        <v>45177</v>
      </c>
      <c r="D427" s="1">
        <v>45222</v>
      </c>
      <c r="E427">
        <v>7106.93</v>
      </c>
      <c r="F427" t="s">
        <v>912</v>
      </c>
      <c r="G427" t="s">
        <v>916</v>
      </c>
      <c r="I427" t="s">
        <v>919</v>
      </c>
      <c r="J427" t="b">
        <f t="shared" si="42"/>
        <v>1</v>
      </c>
      <c r="K427" s="3">
        <f t="shared" ca="1" si="43"/>
        <v>874</v>
      </c>
      <c r="L427" s="3">
        <f t="shared" ca="1" si="44"/>
        <v>829</v>
      </c>
      <c r="M427" t="str">
        <f t="shared" ca="1" si="45"/>
        <v>Overdue</v>
      </c>
      <c r="N427">
        <f t="shared" si="47"/>
        <v>7106.93</v>
      </c>
      <c r="O427" t="str" cm="1">
        <f t="array" aca="1" ref="O427" ca="1">_xlfn.IFS(
L427&lt;=0,"Not Due",
L427&lt;=30,"0–30 Days",
L427&lt;=60,"31–60 Days",
L427&lt;=90,"61–90 Days",
L427&lt;=180,"91–180 Days",
L427&lt;=365,"181–365 Days",
L427&gt;365,"365+ Days (High Risk)"
)</f>
        <v>365+ Days (High Risk)</v>
      </c>
      <c r="P427">
        <f t="shared" si="48"/>
        <v>0</v>
      </c>
      <c r="Q427" s="3">
        <f t="shared" ca="1" si="46"/>
        <v>7106.93</v>
      </c>
    </row>
    <row r="428" spans="1:17" x14ac:dyDescent="0.25">
      <c r="A428" t="s">
        <v>432</v>
      </c>
      <c r="B428" t="s">
        <v>906</v>
      </c>
      <c r="C428" s="1">
        <v>45570</v>
      </c>
      <c r="D428" s="1">
        <v>45615</v>
      </c>
      <c r="E428">
        <v>5137.3500000000004</v>
      </c>
      <c r="F428" t="s">
        <v>913</v>
      </c>
      <c r="G428" t="s">
        <v>917</v>
      </c>
      <c r="I428" t="s">
        <v>919</v>
      </c>
      <c r="J428" t="b">
        <f t="shared" si="42"/>
        <v>1</v>
      </c>
      <c r="K428" s="3">
        <f t="shared" ca="1" si="43"/>
        <v>481</v>
      </c>
      <c r="L428" s="3">
        <f t="shared" ca="1" si="44"/>
        <v>436</v>
      </c>
      <c r="M428" t="str">
        <f t="shared" ca="1" si="45"/>
        <v>Overdue</v>
      </c>
      <c r="N428">
        <f t="shared" si="47"/>
        <v>5137.3500000000004</v>
      </c>
      <c r="O428" t="str" cm="1">
        <f t="array" aca="1" ref="O428" ca="1">_xlfn.IFS(
L428&lt;=0,"Not Due",
L428&lt;=30,"0–30 Days",
L428&lt;=60,"31–60 Days",
L428&lt;=90,"61–90 Days",
L428&lt;=180,"91–180 Days",
L428&lt;=365,"181–365 Days",
L428&gt;365,"365+ Days (High Risk)"
)</f>
        <v>365+ Days (High Risk)</v>
      </c>
      <c r="P428">
        <f t="shared" si="48"/>
        <v>0</v>
      </c>
      <c r="Q428" s="3">
        <f t="shared" ca="1" si="46"/>
        <v>5137.3500000000004</v>
      </c>
    </row>
    <row r="429" spans="1:17" x14ac:dyDescent="0.25">
      <c r="A429" t="s">
        <v>433</v>
      </c>
      <c r="B429" t="s">
        <v>910</v>
      </c>
      <c r="C429" s="1">
        <v>45254</v>
      </c>
      <c r="D429" s="1">
        <v>45299</v>
      </c>
      <c r="E429">
        <v>1913.3</v>
      </c>
      <c r="F429" t="s">
        <v>911</v>
      </c>
      <c r="G429" t="s">
        <v>918</v>
      </c>
      <c r="H429" s="1">
        <v>45299</v>
      </c>
      <c r="I429" t="s">
        <v>919</v>
      </c>
      <c r="J429" t="b">
        <f t="shared" si="42"/>
        <v>0</v>
      </c>
      <c r="K429" s="3">
        <f t="shared" ca="1" si="43"/>
        <v>45</v>
      </c>
      <c r="L429" s="3">
        <f t="shared" ca="1" si="44"/>
        <v>0</v>
      </c>
      <c r="M429" t="str">
        <f t="shared" ca="1" si="45"/>
        <v>On Time</v>
      </c>
      <c r="N429">
        <f t="shared" si="47"/>
        <v>0</v>
      </c>
      <c r="O429" t="str" cm="1">
        <f t="array" aca="1" ref="O429" ca="1">_xlfn.IFS(
L429&lt;=0,"Not Due",
L429&lt;=30,"0–30 Days",
L429&lt;=60,"31–60 Days",
L429&lt;=90,"61–90 Days",
L429&lt;=180,"91–180 Days",
L429&lt;=365,"181–365 Days",
L429&gt;365,"365+ Days (High Risk)"
)</f>
        <v>Not Due</v>
      </c>
      <c r="P429">
        <f t="shared" si="48"/>
        <v>1913.3</v>
      </c>
      <c r="Q429" s="3">
        <f t="shared" ca="1" si="46"/>
        <v>0</v>
      </c>
    </row>
    <row r="430" spans="1:17" x14ac:dyDescent="0.25">
      <c r="A430" t="s">
        <v>434</v>
      </c>
      <c r="B430" t="s">
        <v>910</v>
      </c>
      <c r="C430" s="1">
        <v>44937</v>
      </c>
      <c r="D430" s="1">
        <v>44982</v>
      </c>
      <c r="E430">
        <v>691.52</v>
      </c>
      <c r="F430" t="s">
        <v>913</v>
      </c>
      <c r="G430" t="s">
        <v>916</v>
      </c>
      <c r="I430" t="s">
        <v>919</v>
      </c>
      <c r="J430" t="b">
        <f t="shared" si="42"/>
        <v>1</v>
      </c>
      <c r="K430" s="3">
        <f t="shared" ca="1" si="43"/>
        <v>1114</v>
      </c>
      <c r="L430" s="3">
        <f t="shared" ca="1" si="44"/>
        <v>1069</v>
      </c>
      <c r="M430" t="str">
        <f t="shared" ca="1" si="45"/>
        <v>Overdue</v>
      </c>
      <c r="N430">
        <f t="shared" si="47"/>
        <v>691.52</v>
      </c>
      <c r="O430" t="str" cm="1">
        <f t="array" aca="1" ref="O430" ca="1">_xlfn.IFS(
L430&lt;=0,"Not Due",
L430&lt;=30,"0–30 Days",
L430&lt;=60,"31–60 Days",
L430&lt;=90,"61–90 Days",
L430&lt;=180,"91–180 Days",
L430&lt;=365,"181–365 Days",
L430&gt;365,"365+ Days (High Risk)"
)</f>
        <v>365+ Days (High Risk)</v>
      </c>
      <c r="P430">
        <f t="shared" si="48"/>
        <v>0</v>
      </c>
      <c r="Q430" s="3">
        <f t="shared" ca="1" si="46"/>
        <v>691.52</v>
      </c>
    </row>
    <row r="431" spans="1:17" x14ac:dyDescent="0.25">
      <c r="A431" t="s">
        <v>435</v>
      </c>
      <c r="B431" t="s">
        <v>907</v>
      </c>
      <c r="C431" s="1">
        <v>45267</v>
      </c>
      <c r="D431" s="1">
        <v>45312</v>
      </c>
      <c r="E431">
        <v>4176.67</v>
      </c>
      <c r="F431" t="s">
        <v>915</v>
      </c>
      <c r="G431" t="s">
        <v>917</v>
      </c>
      <c r="I431" t="s">
        <v>919</v>
      </c>
      <c r="J431" t="b">
        <f t="shared" si="42"/>
        <v>1</v>
      </c>
      <c r="K431" s="3">
        <f t="shared" ca="1" si="43"/>
        <v>784</v>
      </c>
      <c r="L431" s="3">
        <f t="shared" ca="1" si="44"/>
        <v>739</v>
      </c>
      <c r="M431" t="str">
        <f t="shared" ca="1" si="45"/>
        <v>Overdue</v>
      </c>
      <c r="N431">
        <f t="shared" si="47"/>
        <v>4176.67</v>
      </c>
      <c r="O431" t="str" cm="1">
        <f t="array" aca="1" ref="O431" ca="1">_xlfn.IFS(
L431&lt;=0,"Not Due",
L431&lt;=30,"0–30 Days",
L431&lt;=60,"31–60 Days",
L431&lt;=90,"61–90 Days",
L431&lt;=180,"91–180 Days",
L431&lt;=365,"181–365 Days",
L431&gt;365,"365+ Days (High Risk)"
)</f>
        <v>365+ Days (High Risk)</v>
      </c>
      <c r="P431">
        <f t="shared" si="48"/>
        <v>0</v>
      </c>
      <c r="Q431" s="3">
        <f t="shared" ca="1" si="46"/>
        <v>4176.67</v>
      </c>
    </row>
    <row r="432" spans="1:17" x14ac:dyDescent="0.25">
      <c r="A432" t="s">
        <v>436</v>
      </c>
      <c r="B432" t="s">
        <v>910</v>
      </c>
      <c r="C432" s="1">
        <v>45073</v>
      </c>
      <c r="D432" s="1">
        <v>45118</v>
      </c>
      <c r="E432">
        <v>1480.05</v>
      </c>
      <c r="F432" t="s">
        <v>912</v>
      </c>
      <c r="G432" t="s">
        <v>917</v>
      </c>
      <c r="I432" t="s">
        <v>919</v>
      </c>
      <c r="J432" t="b">
        <f t="shared" si="42"/>
        <v>1</v>
      </c>
      <c r="K432" s="3">
        <f t="shared" ca="1" si="43"/>
        <v>978</v>
      </c>
      <c r="L432" s="3">
        <f t="shared" ca="1" si="44"/>
        <v>933</v>
      </c>
      <c r="M432" t="str">
        <f t="shared" ca="1" si="45"/>
        <v>Overdue</v>
      </c>
      <c r="N432">
        <f t="shared" si="47"/>
        <v>1480.05</v>
      </c>
      <c r="O432" t="str" cm="1">
        <f t="array" aca="1" ref="O432" ca="1">_xlfn.IFS(
L432&lt;=0,"Not Due",
L432&lt;=30,"0–30 Days",
L432&lt;=60,"31–60 Days",
L432&lt;=90,"61–90 Days",
L432&lt;=180,"91–180 Days",
L432&lt;=365,"181–365 Days",
L432&gt;365,"365+ Days (High Risk)"
)</f>
        <v>365+ Days (High Risk)</v>
      </c>
      <c r="P432">
        <f t="shared" si="48"/>
        <v>0</v>
      </c>
      <c r="Q432" s="3">
        <f t="shared" ca="1" si="46"/>
        <v>1480.05</v>
      </c>
    </row>
    <row r="433" spans="1:17" x14ac:dyDescent="0.25">
      <c r="A433" t="s">
        <v>437</v>
      </c>
      <c r="B433" t="s">
        <v>907</v>
      </c>
      <c r="C433" s="1">
        <v>45794</v>
      </c>
      <c r="D433" s="1">
        <v>45839</v>
      </c>
      <c r="E433">
        <v>6143.97</v>
      </c>
      <c r="F433" t="s">
        <v>912</v>
      </c>
      <c r="G433" t="s">
        <v>917</v>
      </c>
      <c r="I433" t="s">
        <v>919</v>
      </c>
      <c r="J433" t="b">
        <f t="shared" si="42"/>
        <v>1</v>
      </c>
      <c r="K433" s="3">
        <f t="shared" ca="1" si="43"/>
        <v>257</v>
      </c>
      <c r="L433" s="3">
        <f t="shared" ca="1" si="44"/>
        <v>212</v>
      </c>
      <c r="M433" t="str">
        <f t="shared" ca="1" si="45"/>
        <v>Overdue</v>
      </c>
      <c r="N433">
        <f t="shared" si="47"/>
        <v>6143.97</v>
      </c>
      <c r="O433" t="str" cm="1">
        <f t="array" aca="1" ref="O433" ca="1">_xlfn.IFS(
L433&lt;=0,"Not Due",
L433&lt;=30,"0–30 Days",
L433&lt;=60,"31–60 Days",
L433&lt;=90,"61–90 Days",
L433&lt;=180,"91–180 Days",
L433&lt;=365,"181–365 Days",
L433&gt;365,"365+ Days (High Risk)"
)</f>
        <v>181–365 Days</v>
      </c>
      <c r="P433">
        <f t="shared" si="48"/>
        <v>0</v>
      </c>
      <c r="Q433" s="3">
        <f t="shared" ca="1" si="46"/>
        <v>6143.97</v>
      </c>
    </row>
    <row r="434" spans="1:17" x14ac:dyDescent="0.25">
      <c r="A434" t="s">
        <v>438</v>
      </c>
      <c r="B434" t="s">
        <v>909</v>
      </c>
      <c r="C434" s="1">
        <v>45328</v>
      </c>
      <c r="D434" s="1">
        <v>45373</v>
      </c>
      <c r="E434">
        <v>6797.28</v>
      </c>
      <c r="F434" t="s">
        <v>914</v>
      </c>
      <c r="G434" t="s">
        <v>917</v>
      </c>
      <c r="I434" t="s">
        <v>919</v>
      </c>
      <c r="J434" t="b">
        <f t="shared" si="42"/>
        <v>1</v>
      </c>
      <c r="K434" s="3">
        <f t="shared" ca="1" si="43"/>
        <v>723</v>
      </c>
      <c r="L434" s="3">
        <f t="shared" ca="1" si="44"/>
        <v>678</v>
      </c>
      <c r="M434" t="str">
        <f t="shared" ca="1" si="45"/>
        <v>Overdue</v>
      </c>
      <c r="N434">
        <f t="shared" si="47"/>
        <v>6797.28</v>
      </c>
      <c r="O434" t="str" cm="1">
        <f t="array" aca="1" ref="O434" ca="1">_xlfn.IFS(
L434&lt;=0,"Not Due",
L434&lt;=30,"0–30 Days",
L434&lt;=60,"31–60 Days",
L434&lt;=90,"61–90 Days",
L434&lt;=180,"91–180 Days",
L434&lt;=365,"181–365 Days",
L434&gt;365,"365+ Days (High Risk)"
)</f>
        <v>365+ Days (High Risk)</v>
      </c>
      <c r="P434">
        <f t="shared" si="48"/>
        <v>0</v>
      </c>
      <c r="Q434" s="3">
        <f t="shared" ca="1" si="46"/>
        <v>6797.28</v>
      </c>
    </row>
    <row r="435" spans="1:17" x14ac:dyDescent="0.25">
      <c r="A435" t="s">
        <v>439</v>
      </c>
      <c r="B435" t="s">
        <v>910</v>
      </c>
      <c r="C435" s="1">
        <v>45006</v>
      </c>
      <c r="D435" s="1">
        <v>45051</v>
      </c>
      <c r="E435">
        <v>7109.3</v>
      </c>
      <c r="F435" t="s">
        <v>912</v>
      </c>
      <c r="G435" t="s">
        <v>916</v>
      </c>
      <c r="I435" t="s">
        <v>919</v>
      </c>
      <c r="J435" t="b">
        <f t="shared" si="42"/>
        <v>1</v>
      </c>
      <c r="K435" s="3">
        <f t="shared" ca="1" si="43"/>
        <v>1045</v>
      </c>
      <c r="L435" s="3">
        <f t="shared" ca="1" si="44"/>
        <v>1000</v>
      </c>
      <c r="M435" t="str">
        <f t="shared" ca="1" si="45"/>
        <v>Overdue</v>
      </c>
      <c r="N435">
        <f t="shared" si="47"/>
        <v>7109.3</v>
      </c>
      <c r="O435" t="str" cm="1">
        <f t="array" aca="1" ref="O435" ca="1">_xlfn.IFS(
L435&lt;=0,"Not Due",
L435&lt;=30,"0–30 Days",
L435&lt;=60,"31–60 Days",
L435&lt;=90,"61–90 Days",
L435&lt;=180,"91–180 Days",
L435&lt;=365,"181–365 Days",
L435&gt;365,"365+ Days (High Risk)"
)</f>
        <v>365+ Days (High Risk)</v>
      </c>
      <c r="P435">
        <f t="shared" si="48"/>
        <v>0</v>
      </c>
      <c r="Q435" s="3">
        <f t="shared" ca="1" si="46"/>
        <v>7109.3</v>
      </c>
    </row>
    <row r="436" spans="1:17" x14ac:dyDescent="0.25">
      <c r="A436" t="s">
        <v>440</v>
      </c>
      <c r="B436" t="s">
        <v>910</v>
      </c>
      <c r="C436" s="1">
        <v>45093</v>
      </c>
      <c r="D436" s="1">
        <v>45138</v>
      </c>
      <c r="E436">
        <v>783.4</v>
      </c>
      <c r="F436" t="s">
        <v>913</v>
      </c>
      <c r="G436" t="s">
        <v>916</v>
      </c>
      <c r="I436" t="s">
        <v>919</v>
      </c>
      <c r="J436" t="b">
        <f t="shared" si="42"/>
        <v>1</v>
      </c>
      <c r="K436" s="3">
        <f t="shared" ca="1" si="43"/>
        <v>958</v>
      </c>
      <c r="L436" s="3">
        <f t="shared" ca="1" si="44"/>
        <v>913</v>
      </c>
      <c r="M436" t="str">
        <f t="shared" ca="1" si="45"/>
        <v>Overdue</v>
      </c>
      <c r="N436">
        <f t="shared" si="47"/>
        <v>783.4</v>
      </c>
      <c r="O436" t="str" cm="1">
        <f t="array" aca="1" ref="O436" ca="1">_xlfn.IFS(
L436&lt;=0,"Not Due",
L436&lt;=30,"0–30 Days",
L436&lt;=60,"31–60 Days",
L436&lt;=90,"61–90 Days",
L436&lt;=180,"91–180 Days",
L436&lt;=365,"181–365 Days",
L436&gt;365,"365+ Days (High Risk)"
)</f>
        <v>365+ Days (High Risk)</v>
      </c>
      <c r="P436">
        <f t="shared" si="48"/>
        <v>0</v>
      </c>
      <c r="Q436" s="3">
        <f t="shared" ca="1" si="46"/>
        <v>783.4</v>
      </c>
    </row>
    <row r="437" spans="1:17" x14ac:dyDescent="0.25">
      <c r="A437" t="s">
        <v>441</v>
      </c>
      <c r="B437" t="s">
        <v>907</v>
      </c>
      <c r="C437" s="1">
        <v>45675</v>
      </c>
      <c r="D437" s="1">
        <v>45720</v>
      </c>
      <c r="E437">
        <v>807.05</v>
      </c>
      <c r="F437" t="s">
        <v>911</v>
      </c>
      <c r="G437" t="s">
        <v>916</v>
      </c>
      <c r="I437" t="s">
        <v>919</v>
      </c>
      <c r="J437" t="b">
        <f t="shared" si="42"/>
        <v>1</v>
      </c>
      <c r="K437" s="3">
        <f t="shared" ca="1" si="43"/>
        <v>376</v>
      </c>
      <c r="L437" s="3">
        <f t="shared" ca="1" si="44"/>
        <v>331</v>
      </c>
      <c r="M437" t="str">
        <f t="shared" ca="1" si="45"/>
        <v>Overdue</v>
      </c>
      <c r="N437">
        <f t="shared" si="47"/>
        <v>807.05</v>
      </c>
      <c r="O437" t="str" cm="1">
        <f t="array" aca="1" ref="O437" ca="1">_xlfn.IFS(
L437&lt;=0,"Not Due",
L437&lt;=30,"0–30 Days",
L437&lt;=60,"31–60 Days",
L437&lt;=90,"61–90 Days",
L437&lt;=180,"91–180 Days",
L437&lt;=365,"181–365 Days",
L437&gt;365,"365+ Days (High Risk)"
)</f>
        <v>181–365 Days</v>
      </c>
      <c r="P437">
        <f t="shared" si="48"/>
        <v>0</v>
      </c>
      <c r="Q437" s="3">
        <f t="shared" ca="1" si="46"/>
        <v>807.05</v>
      </c>
    </row>
    <row r="438" spans="1:17" x14ac:dyDescent="0.25">
      <c r="A438" t="s">
        <v>442</v>
      </c>
      <c r="B438" t="s">
        <v>907</v>
      </c>
      <c r="C438" s="1">
        <v>45432</v>
      </c>
      <c r="D438" s="1">
        <v>45477</v>
      </c>
      <c r="E438">
        <v>5687.58</v>
      </c>
      <c r="F438" t="s">
        <v>914</v>
      </c>
      <c r="G438" t="s">
        <v>918</v>
      </c>
      <c r="H438" s="1">
        <v>45477</v>
      </c>
      <c r="I438" t="s">
        <v>919</v>
      </c>
      <c r="J438" t="b">
        <f t="shared" si="42"/>
        <v>0</v>
      </c>
      <c r="K438" s="3">
        <f t="shared" ca="1" si="43"/>
        <v>45</v>
      </c>
      <c r="L438" s="3">
        <f t="shared" ca="1" si="44"/>
        <v>0</v>
      </c>
      <c r="M438" t="str">
        <f t="shared" ca="1" si="45"/>
        <v>On Time</v>
      </c>
      <c r="N438">
        <f t="shared" si="47"/>
        <v>0</v>
      </c>
      <c r="O438" t="str" cm="1">
        <f t="array" aca="1" ref="O438" ca="1">_xlfn.IFS(
L438&lt;=0,"Not Due",
L438&lt;=30,"0–30 Days",
L438&lt;=60,"31–60 Days",
L438&lt;=90,"61–90 Days",
L438&lt;=180,"91–180 Days",
L438&lt;=365,"181–365 Days",
L438&gt;365,"365+ Days (High Risk)"
)</f>
        <v>Not Due</v>
      </c>
      <c r="P438">
        <f t="shared" si="48"/>
        <v>5687.58</v>
      </c>
      <c r="Q438" s="3">
        <f t="shared" ca="1" si="46"/>
        <v>0</v>
      </c>
    </row>
    <row r="439" spans="1:17" x14ac:dyDescent="0.25">
      <c r="A439" t="s">
        <v>443</v>
      </c>
      <c r="B439" t="s">
        <v>908</v>
      </c>
      <c r="C439" s="1">
        <v>45393</v>
      </c>
      <c r="D439" s="1">
        <v>45438</v>
      </c>
      <c r="E439">
        <v>7018.75</v>
      </c>
      <c r="F439" t="s">
        <v>911</v>
      </c>
      <c r="G439" t="s">
        <v>917</v>
      </c>
      <c r="I439" t="s">
        <v>919</v>
      </c>
      <c r="J439" t="b">
        <f t="shared" si="42"/>
        <v>1</v>
      </c>
      <c r="K439" s="3">
        <f t="shared" ca="1" si="43"/>
        <v>658</v>
      </c>
      <c r="L439" s="3">
        <f t="shared" ca="1" si="44"/>
        <v>613</v>
      </c>
      <c r="M439" t="str">
        <f t="shared" ca="1" si="45"/>
        <v>Overdue</v>
      </c>
      <c r="N439">
        <f t="shared" si="47"/>
        <v>7018.75</v>
      </c>
      <c r="O439" t="str" cm="1">
        <f t="array" aca="1" ref="O439" ca="1">_xlfn.IFS(
L439&lt;=0,"Not Due",
L439&lt;=30,"0–30 Days",
L439&lt;=60,"31–60 Days",
L439&lt;=90,"61–90 Days",
L439&lt;=180,"91–180 Days",
L439&lt;=365,"181–365 Days",
L439&gt;365,"365+ Days (High Risk)"
)</f>
        <v>365+ Days (High Risk)</v>
      </c>
      <c r="P439">
        <f t="shared" si="48"/>
        <v>0</v>
      </c>
      <c r="Q439" s="3">
        <f t="shared" ca="1" si="46"/>
        <v>7018.75</v>
      </c>
    </row>
    <row r="440" spans="1:17" x14ac:dyDescent="0.25">
      <c r="A440" t="s">
        <v>444</v>
      </c>
      <c r="B440" t="s">
        <v>910</v>
      </c>
      <c r="C440" s="1">
        <v>45151</v>
      </c>
      <c r="D440" s="1">
        <v>45196</v>
      </c>
      <c r="E440">
        <v>3873.48</v>
      </c>
      <c r="F440" t="s">
        <v>911</v>
      </c>
      <c r="G440" t="s">
        <v>918</v>
      </c>
      <c r="H440" s="1">
        <v>45196</v>
      </c>
      <c r="I440" t="s">
        <v>919</v>
      </c>
      <c r="J440" t="b">
        <f t="shared" si="42"/>
        <v>0</v>
      </c>
      <c r="K440" s="3">
        <f t="shared" ca="1" si="43"/>
        <v>45</v>
      </c>
      <c r="L440" s="3">
        <f t="shared" ca="1" si="44"/>
        <v>0</v>
      </c>
      <c r="M440" t="str">
        <f t="shared" ca="1" si="45"/>
        <v>On Time</v>
      </c>
      <c r="N440">
        <f t="shared" si="47"/>
        <v>0</v>
      </c>
      <c r="O440" t="str" cm="1">
        <f t="array" aca="1" ref="O440" ca="1">_xlfn.IFS(
L440&lt;=0,"Not Due",
L440&lt;=30,"0–30 Days",
L440&lt;=60,"31–60 Days",
L440&lt;=90,"61–90 Days",
L440&lt;=180,"91–180 Days",
L440&lt;=365,"181–365 Days",
L440&gt;365,"365+ Days (High Risk)"
)</f>
        <v>Not Due</v>
      </c>
      <c r="P440">
        <f t="shared" si="48"/>
        <v>3873.48</v>
      </c>
      <c r="Q440" s="3">
        <f t="shared" ca="1" si="46"/>
        <v>0</v>
      </c>
    </row>
    <row r="441" spans="1:17" x14ac:dyDescent="0.25">
      <c r="A441" t="s">
        <v>445</v>
      </c>
      <c r="B441" t="s">
        <v>910</v>
      </c>
      <c r="C441" s="1">
        <v>45791</v>
      </c>
      <c r="D441" s="1">
        <v>45836</v>
      </c>
      <c r="E441">
        <v>538.58000000000004</v>
      </c>
      <c r="F441" t="s">
        <v>912</v>
      </c>
      <c r="G441" t="s">
        <v>918</v>
      </c>
      <c r="H441" s="1">
        <v>45836</v>
      </c>
      <c r="I441" t="s">
        <v>919</v>
      </c>
      <c r="J441" t="b">
        <f t="shared" si="42"/>
        <v>0</v>
      </c>
      <c r="K441" s="3">
        <f t="shared" ca="1" si="43"/>
        <v>45</v>
      </c>
      <c r="L441" s="3">
        <f t="shared" ca="1" si="44"/>
        <v>0</v>
      </c>
      <c r="M441" t="str">
        <f t="shared" ca="1" si="45"/>
        <v>On Time</v>
      </c>
      <c r="N441">
        <f t="shared" si="47"/>
        <v>0</v>
      </c>
      <c r="O441" t="str" cm="1">
        <f t="array" aca="1" ref="O441" ca="1">_xlfn.IFS(
L441&lt;=0,"Not Due",
L441&lt;=30,"0–30 Days",
L441&lt;=60,"31–60 Days",
L441&lt;=90,"61–90 Days",
L441&lt;=180,"91–180 Days",
L441&lt;=365,"181–365 Days",
L441&gt;365,"365+ Days (High Risk)"
)</f>
        <v>Not Due</v>
      </c>
      <c r="P441">
        <f t="shared" si="48"/>
        <v>538.58000000000004</v>
      </c>
      <c r="Q441" s="3">
        <f t="shared" ca="1" si="46"/>
        <v>0</v>
      </c>
    </row>
    <row r="442" spans="1:17" x14ac:dyDescent="0.25">
      <c r="A442" t="s">
        <v>446</v>
      </c>
      <c r="B442" t="s">
        <v>906</v>
      </c>
      <c r="C442" s="1">
        <v>45052</v>
      </c>
      <c r="D442" s="1">
        <v>45097</v>
      </c>
      <c r="E442">
        <v>566.46</v>
      </c>
      <c r="F442" t="s">
        <v>915</v>
      </c>
      <c r="G442" t="s">
        <v>918</v>
      </c>
      <c r="H442" s="1">
        <v>45097</v>
      </c>
      <c r="I442" t="s">
        <v>919</v>
      </c>
      <c r="J442" t="b">
        <f t="shared" si="42"/>
        <v>0</v>
      </c>
      <c r="K442" s="3">
        <f t="shared" ca="1" si="43"/>
        <v>45</v>
      </c>
      <c r="L442" s="3">
        <f t="shared" ca="1" si="44"/>
        <v>0</v>
      </c>
      <c r="M442" t="str">
        <f t="shared" ca="1" si="45"/>
        <v>On Time</v>
      </c>
      <c r="N442">
        <f t="shared" si="47"/>
        <v>0</v>
      </c>
      <c r="O442" t="str" cm="1">
        <f t="array" aca="1" ref="O442" ca="1">_xlfn.IFS(
L442&lt;=0,"Not Due",
L442&lt;=30,"0–30 Days",
L442&lt;=60,"31–60 Days",
L442&lt;=90,"61–90 Days",
L442&lt;=180,"91–180 Days",
L442&lt;=365,"181–365 Days",
L442&gt;365,"365+ Days (High Risk)"
)</f>
        <v>Not Due</v>
      </c>
      <c r="P442">
        <f t="shared" si="48"/>
        <v>566.46</v>
      </c>
      <c r="Q442" s="3">
        <f t="shared" ca="1" si="46"/>
        <v>0</v>
      </c>
    </row>
    <row r="443" spans="1:17" x14ac:dyDescent="0.25">
      <c r="A443" t="s">
        <v>447</v>
      </c>
      <c r="B443" t="s">
        <v>906</v>
      </c>
      <c r="C443" s="1">
        <v>45792</v>
      </c>
      <c r="D443" s="1">
        <v>45837</v>
      </c>
      <c r="E443">
        <v>2303.2399999999998</v>
      </c>
      <c r="F443" t="s">
        <v>914</v>
      </c>
      <c r="G443" t="s">
        <v>916</v>
      </c>
      <c r="I443" t="s">
        <v>919</v>
      </c>
      <c r="J443" t="b">
        <f t="shared" si="42"/>
        <v>1</v>
      </c>
      <c r="K443" s="3">
        <f t="shared" ca="1" si="43"/>
        <v>259</v>
      </c>
      <c r="L443" s="3">
        <f t="shared" ca="1" si="44"/>
        <v>214</v>
      </c>
      <c r="M443" t="str">
        <f t="shared" ca="1" si="45"/>
        <v>Overdue</v>
      </c>
      <c r="N443">
        <f t="shared" si="47"/>
        <v>2303.2399999999998</v>
      </c>
      <c r="O443" t="str" cm="1">
        <f t="array" aca="1" ref="O443" ca="1">_xlfn.IFS(
L443&lt;=0,"Not Due",
L443&lt;=30,"0–30 Days",
L443&lt;=60,"31–60 Days",
L443&lt;=90,"61–90 Days",
L443&lt;=180,"91–180 Days",
L443&lt;=365,"181–365 Days",
L443&gt;365,"365+ Days (High Risk)"
)</f>
        <v>181–365 Days</v>
      </c>
      <c r="P443">
        <f t="shared" si="48"/>
        <v>0</v>
      </c>
      <c r="Q443" s="3">
        <f t="shared" ca="1" si="46"/>
        <v>2303.2399999999998</v>
      </c>
    </row>
    <row r="444" spans="1:17" x14ac:dyDescent="0.25">
      <c r="A444" t="s">
        <v>448</v>
      </c>
      <c r="B444" t="s">
        <v>906</v>
      </c>
      <c r="C444" s="1">
        <v>45199</v>
      </c>
      <c r="D444" s="1">
        <v>45244</v>
      </c>
      <c r="E444">
        <v>2906.05</v>
      </c>
      <c r="F444" t="s">
        <v>915</v>
      </c>
      <c r="G444" t="s">
        <v>916</v>
      </c>
      <c r="I444" t="s">
        <v>919</v>
      </c>
      <c r="J444" t="b">
        <f t="shared" si="42"/>
        <v>1</v>
      </c>
      <c r="K444" s="3">
        <f t="shared" ca="1" si="43"/>
        <v>852</v>
      </c>
      <c r="L444" s="3">
        <f t="shared" ca="1" si="44"/>
        <v>807</v>
      </c>
      <c r="M444" t="str">
        <f t="shared" ca="1" si="45"/>
        <v>Overdue</v>
      </c>
      <c r="N444">
        <f t="shared" si="47"/>
        <v>2906.05</v>
      </c>
      <c r="O444" t="str" cm="1">
        <f t="array" aca="1" ref="O444" ca="1">_xlfn.IFS(
L444&lt;=0,"Not Due",
L444&lt;=30,"0–30 Days",
L444&lt;=60,"31–60 Days",
L444&lt;=90,"61–90 Days",
L444&lt;=180,"91–180 Days",
L444&lt;=365,"181–365 Days",
L444&gt;365,"365+ Days (High Risk)"
)</f>
        <v>365+ Days (High Risk)</v>
      </c>
      <c r="P444">
        <f t="shared" si="48"/>
        <v>0</v>
      </c>
      <c r="Q444" s="3">
        <f t="shared" ca="1" si="46"/>
        <v>2906.05</v>
      </c>
    </row>
    <row r="445" spans="1:17" x14ac:dyDescent="0.25">
      <c r="A445" t="s">
        <v>449</v>
      </c>
      <c r="B445" t="s">
        <v>909</v>
      </c>
      <c r="C445" s="1">
        <v>44933</v>
      </c>
      <c r="D445" s="1">
        <v>44978</v>
      </c>
      <c r="E445">
        <v>5629.9</v>
      </c>
      <c r="F445" t="s">
        <v>912</v>
      </c>
      <c r="G445" t="s">
        <v>918</v>
      </c>
      <c r="H445" s="1">
        <v>44978</v>
      </c>
      <c r="I445" t="s">
        <v>919</v>
      </c>
      <c r="J445" t="b">
        <f t="shared" si="42"/>
        <v>0</v>
      </c>
      <c r="K445" s="3">
        <f t="shared" ca="1" si="43"/>
        <v>45</v>
      </c>
      <c r="L445" s="3">
        <f t="shared" ca="1" si="44"/>
        <v>0</v>
      </c>
      <c r="M445" t="str">
        <f t="shared" ca="1" si="45"/>
        <v>On Time</v>
      </c>
      <c r="N445">
        <f t="shared" si="47"/>
        <v>0</v>
      </c>
      <c r="O445" t="str" cm="1">
        <f t="array" aca="1" ref="O445" ca="1">_xlfn.IFS(
L445&lt;=0,"Not Due",
L445&lt;=30,"0–30 Days",
L445&lt;=60,"31–60 Days",
L445&lt;=90,"61–90 Days",
L445&lt;=180,"91–180 Days",
L445&lt;=365,"181–365 Days",
L445&gt;365,"365+ Days (High Risk)"
)</f>
        <v>Not Due</v>
      </c>
      <c r="P445">
        <f t="shared" si="48"/>
        <v>5629.9</v>
      </c>
      <c r="Q445" s="3">
        <f t="shared" ca="1" si="46"/>
        <v>0</v>
      </c>
    </row>
    <row r="446" spans="1:17" x14ac:dyDescent="0.25">
      <c r="A446" t="s">
        <v>450</v>
      </c>
      <c r="B446" t="s">
        <v>907</v>
      </c>
      <c r="C446" s="1">
        <v>45481</v>
      </c>
      <c r="D446" s="1">
        <v>45526</v>
      </c>
      <c r="E446">
        <v>1428.87</v>
      </c>
      <c r="F446" t="s">
        <v>914</v>
      </c>
      <c r="G446" t="s">
        <v>918</v>
      </c>
      <c r="H446" s="1">
        <v>45526</v>
      </c>
      <c r="I446" t="s">
        <v>919</v>
      </c>
      <c r="J446" t="b">
        <f t="shared" si="42"/>
        <v>0</v>
      </c>
      <c r="K446" s="3">
        <f t="shared" ca="1" si="43"/>
        <v>45</v>
      </c>
      <c r="L446" s="3">
        <f t="shared" ca="1" si="44"/>
        <v>0</v>
      </c>
      <c r="M446" t="str">
        <f t="shared" ca="1" si="45"/>
        <v>On Time</v>
      </c>
      <c r="N446">
        <f t="shared" si="47"/>
        <v>0</v>
      </c>
      <c r="O446" t="str" cm="1">
        <f t="array" aca="1" ref="O446" ca="1">_xlfn.IFS(
L446&lt;=0,"Not Due",
L446&lt;=30,"0–30 Days",
L446&lt;=60,"31–60 Days",
L446&lt;=90,"61–90 Days",
L446&lt;=180,"91–180 Days",
L446&lt;=365,"181–365 Days",
L446&gt;365,"365+ Days (High Risk)"
)</f>
        <v>Not Due</v>
      </c>
      <c r="P446">
        <f t="shared" si="48"/>
        <v>1428.87</v>
      </c>
      <c r="Q446" s="3">
        <f t="shared" ca="1" si="46"/>
        <v>0</v>
      </c>
    </row>
    <row r="447" spans="1:17" x14ac:dyDescent="0.25">
      <c r="A447" t="s">
        <v>451</v>
      </c>
      <c r="B447" t="s">
        <v>907</v>
      </c>
      <c r="C447" s="1">
        <v>45721</v>
      </c>
      <c r="D447" s="1">
        <v>45766</v>
      </c>
      <c r="E447">
        <v>2726.63</v>
      </c>
      <c r="F447" t="s">
        <v>913</v>
      </c>
      <c r="G447" t="s">
        <v>918</v>
      </c>
      <c r="H447" s="1">
        <v>45766</v>
      </c>
      <c r="I447" t="s">
        <v>919</v>
      </c>
      <c r="J447" t="b">
        <f t="shared" si="42"/>
        <v>0</v>
      </c>
      <c r="K447" s="3">
        <f t="shared" ca="1" si="43"/>
        <v>45</v>
      </c>
      <c r="L447" s="3">
        <f t="shared" ca="1" si="44"/>
        <v>0</v>
      </c>
      <c r="M447" t="str">
        <f t="shared" ca="1" si="45"/>
        <v>On Time</v>
      </c>
      <c r="N447">
        <f t="shared" si="47"/>
        <v>0</v>
      </c>
      <c r="O447" t="str" cm="1">
        <f t="array" aca="1" ref="O447" ca="1">_xlfn.IFS(
L447&lt;=0,"Not Due",
L447&lt;=30,"0–30 Days",
L447&lt;=60,"31–60 Days",
L447&lt;=90,"61–90 Days",
L447&lt;=180,"91–180 Days",
L447&lt;=365,"181–365 Days",
L447&gt;365,"365+ Days (High Risk)"
)</f>
        <v>Not Due</v>
      </c>
      <c r="P447">
        <f t="shared" si="48"/>
        <v>2726.63</v>
      </c>
      <c r="Q447" s="3">
        <f t="shared" ca="1" si="46"/>
        <v>0</v>
      </c>
    </row>
    <row r="448" spans="1:17" x14ac:dyDescent="0.25">
      <c r="A448" t="s">
        <v>452</v>
      </c>
      <c r="B448" t="s">
        <v>909</v>
      </c>
      <c r="C448" s="1">
        <v>45290</v>
      </c>
      <c r="D448" s="1">
        <v>45335</v>
      </c>
      <c r="E448">
        <v>4561.8999999999996</v>
      </c>
      <c r="F448" t="s">
        <v>911</v>
      </c>
      <c r="G448" t="s">
        <v>916</v>
      </c>
      <c r="I448" t="s">
        <v>919</v>
      </c>
      <c r="J448" t="b">
        <f t="shared" si="42"/>
        <v>1</v>
      </c>
      <c r="K448" s="3">
        <f t="shared" ca="1" si="43"/>
        <v>761</v>
      </c>
      <c r="L448" s="3">
        <f t="shared" ca="1" si="44"/>
        <v>716</v>
      </c>
      <c r="M448" t="str">
        <f t="shared" ca="1" si="45"/>
        <v>Overdue</v>
      </c>
      <c r="N448">
        <f t="shared" si="47"/>
        <v>4561.8999999999996</v>
      </c>
      <c r="O448" t="str" cm="1">
        <f t="array" aca="1" ref="O448" ca="1">_xlfn.IFS(
L448&lt;=0,"Not Due",
L448&lt;=30,"0–30 Days",
L448&lt;=60,"31–60 Days",
L448&lt;=90,"61–90 Days",
L448&lt;=180,"91–180 Days",
L448&lt;=365,"181–365 Days",
L448&gt;365,"365+ Days (High Risk)"
)</f>
        <v>365+ Days (High Risk)</v>
      </c>
      <c r="P448">
        <f t="shared" si="48"/>
        <v>0</v>
      </c>
      <c r="Q448" s="3">
        <f t="shared" ca="1" si="46"/>
        <v>4561.8999999999996</v>
      </c>
    </row>
    <row r="449" spans="1:17" x14ac:dyDescent="0.25">
      <c r="A449" t="s">
        <v>453</v>
      </c>
      <c r="B449" t="s">
        <v>906</v>
      </c>
      <c r="C449" s="1">
        <v>45427</v>
      </c>
      <c r="D449" s="1">
        <v>45472</v>
      </c>
      <c r="E449">
        <v>6920.67</v>
      </c>
      <c r="F449" t="s">
        <v>915</v>
      </c>
      <c r="G449" t="s">
        <v>916</v>
      </c>
      <c r="I449" t="s">
        <v>919</v>
      </c>
      <c r="J449" t="b">
        <f t="shared" si="42"/>
        <v>1</v>
      </c>
      <c r="K449" s="3">
        <f t="shared" ca="1" si="43"/>
        <v>624</v>
      </c>
      <c r="L449" s="3">
        <f t="shared" ca="1" si="44"/>
        <v>579</v>
      </c>
      <c r="M449" t="str">
        <f t="shared" ca="1" si="45"/>
        <v>Overdue</v>
      </c>
      <c r="N449">
        <f t="shared" si="47"/>
        <v>6920.67</v>
      </c>
      <c r="O449" t="str" cm="1">
        <f t="array" aca="1" ref="O449" ca="1">_xlfn.IFS(
L449&lt;=0,"Not Due",
L449&lt;=30,"0–30 Days",
L449&lt;=60,"31–60 Days",
L449&lt;=90,"61–90 Days",
L449&lt;=180,"91–180 Days",
L449&lt;=365,"181–365 Days",
L449&gt;365,"365+ Days (High Risk)"
)</f>
        <v>365+ Days (High Risk)</v>
      </c>
      <c r="P449">
        <f t="shared" si="48"/>
        <v>0</v>
      </c>
      <c r="Q449" s="3">
        <f t="shared" ca="1" si="46"/>
        <v>6920.67</v>
      </c>
    </row>
    <row r="450" spans="1:17" x14ac:dyDescent="0.25">
      <c r="A450" t="s">
        <v>454</v>
      </c>
      <c r="B450" t="s">
        <v>909</v>
      </c>
      <c r="C450" s="1">
        <v>45448</v>
      </c>
      <c r="D450" s="1">
        <v>45493</v>
      </c>
      <c r="E450">
        <v>1154.44</v>
      </c>
      <c r="F450" t="s">
        <v>915</v>
      </c>
      <c r="G450" t="s">
        <v>916</v>
      </c>
      <c r="I450" t="s">
        <v>919</v>
      </c>
      <c r="J450" t="b">
        <f t="shared" ref="J450:J513" si="49">ISBLANK(H450)</f>
        <v>1</v>
      </c>
      <c r="K450" s="3">
        <f t="shared" ref="K450:K513" ca="1" si="50">IF(G450="Received",
IF(H450="",TODAY()-C450,H450-C450),
TODAY()-C450)</f>
        <v>603</v>
      </c>
      <c r="L450" s="3">
        <f t="shared" ref="L450:L513" ca="1" si="51">IF(N450=0,0,TODAY()-D450)</f>
        <v>558</v>
      </c>
      <c r="M450" t="str">
        <f t="shared" ref="M450:M513" ca="1" si="52">IF(L450&gt;0,"Overdue","On Time")</f>
        <v>Overdue</v>
      </c>
      <c r="N450">
        <f t="shared" si="47"/>
        <v>1154.44</v>
      </c>
      <c r="O450" t="str" cm="1">
        <f t="array" aca="1" ref="O450" ca="1">_xlfn.IFS(
L450&lt;=0,"Not Due",
L450&lt;=30,"0–30 Days",
L450&lt;=60,"31–60 Days",
L450&lt;=90,"61–90 Days",
L450&lt;=180,"91–180 Days",
L450&lt;=365,"181–365 Days",
L450&gt;365,"365+ Days (High Risk)"
)</f>
        <v>365+ Days (High Risk)</v>
      </c>
      <c r="P450">
        <f t="shared" si="48"/>
        <v>0</v>
      </c>
      <c r="Q450" s="3">
        <f t="shared" ref="Q450:Q513" ca="1" si="53">IF(L450&gt;0, N450, 0)</f>
        <v>1154.44</v>
      </c>
    </row>
    <row r="451" spans="1:17" x14ac:dyDescent="0.25">
      <c r="A451" t="s">
        <v>455</v>
      </c>
      <c r="B451" t="s">
        <v>906</v>
      </c>
      <c r="C451" s="1">
        <v>45730</v>
      </c>
      <c r="D451" s="1">
        <v>45775</v>
      </c>
      <c r="E451">
        <v>6463.29</v>
      </c>
      <c r="F451" t="s">
        <v>913</v>
      </c>
      <c r="G451" t="s">
        <v>918</v>
      </c>
      <c r="H451" s="1">
        <v>45775</v>
      </c>
      <c r="I451" t="s">
        <v>919</v>
      </c>
      <c r="J451" t="b">
        <f t="shared" si="49"/>
        <v>0</v>
      </c>
      <c r="K451" s="3">
        <f t="shared" ca="1" si="50"/>
        <v>45</v>
      </c>
      <c r="L451" s="3">
        <f t="shared" ca="1" si="51"/>
        <v>0</v>
      </c>
      <c r="M451" t="str">
        <f t="shared" ca="1" si="52"/>
        <v>On Time</v>
      </c>
      <c r="N451">
        <f t="shared" ref="N451:N514" si="54">IF(G451="Received",0,E451)</f>
        <v>0</v>
      </c>
      <c r="O451" t="str" cm="1">
        <f t="array" aca="1" ref="O451" ca="1">_xlfn.IFS(
L451&lt;=0,"Not Due",
L451&lt;=30,"0–30 Days",
L451&lt;=60,"31–60 Days",
L451&lt;=90,"61–90 Days",
L451&lt;=180,"91–180 Days",
L451&lt;=365,"181–365 Days",
L451&gt;365,"365+ Days (High Risk)"
)</f>
        <v>Not Due</v>
      </c>
      <c r="P451">
        <f t="shared" ref="P451:P514" si="55">E451-N451</f>
        <v>6463.29</v>
      </c>
      <c r="Q451" s="3">
        <f t="shared" ca="1" si="53"/>
        <v>0</v>
      </c>
    </row>
    <row r="452" spans="1:17" x14ac:dyDescent="0.25">
      <c r="A452" t="s">
        <v>456</v>
      </c>
      <c r="B452" t="s">
        <v>910</v>
      </c>
      <c r="C452" s="1">
        <v>45560</v>
      </c>
      <c r="D452" s="1">
        <v>45605</v>
      </c>
      <c r="E452">
        <v>2374.91</v>
      </c>
      <c r="F452" t="s">
        <v>912</v>
      </c>
      <c r="G452" t="s">
        <v>916</v>
      </c>
      <c r="I452" t="s">
        <v>919</v>
      </c>
      <c r="J452" t="b">
        <f t="shared" si="49"/>
        <v>1</v>
      </c>
      <c r="K452" s="3">
        <f t="shared" ca="1" si="50"/>
        <v>491</v>
      </c>
      <c r="L452" s="3">
        <f t="shared" ca="1" si="51"/>
        <v>446</v>
      </c>
      <c r="M452" t="str">
        <f t="shared" ca="1" si="52"/>
        <v>Overdue</v>
      </c>
      <c r="N452">
        <f t="shared" si="54"/>
        <v>2374.91</v>
      </c>
      <c r="O452" t="str" cm="1">
        <f t="array" aca="1" ref="O452" ca="1">_xlfn.IFS(
L452&lt;=0,"Not Due",
L452&lt;=30,"0–30 Days",
L452&lt;=60,"31–60 Days",
L452&lt;=90,"61–90 Days",
L452&lt;=180,"91–180 Days",
L452&lt;=365,"181–365 Days",
L452&gt;365,"365+ Days (High Risk)"
)</f>
        <v>365+ Days (High Risk)</v>
      </c>
      <c r="P452">
        <f t="shared" si="55"/>
        <v>0</v>
      </c>
      <c r="Q452" s="3">
        <f t="shared" ca="1" si="53"/>
        <v>2374.91</v>
      </c>
    </row>
    <row r="453" spans="1:17" x14ac:dyDescent="0.25">
      <c r="A453" t="s">
        <v>457</v>
      </c>
      <c r="B453" t="s">
        <v>906</v>
      </c>
      <c r="C453" s="1">
        <v>45177</v>
      </c>
      <c r="D453" s="1">
        <v>45222</v>
      </c>
      <c r="E453">
        <v>2984.83</v>
      </c>
      <c r="F453" t="s">
        <v>915</v>
      </c>
      <c r="G453" t="s">
        <v>917</v>
      </c>
      <c r="I453" t="s">
        <v>919</v>
      </c>
      <c r="J453" t="b">
        <f t="shared" si="49"/>
        <v>1</v>
      </c>
      <c r="K453" s="3">
        <f t="shared" ca="1" si="50"/>
        <v>874</v>
      </c>
      <c r="L453" s="3">
        <f t="shared" ca="1" si="51"/>
        <v>829</v>
      </c>
      <c r="M453" t="str">
        <f t="shared" ca="1" si="52"/>
        <v>Overdue</v>
      </c>
      <c r="N453">
        <f t="shared" si="54"/>
        <v>2984.83</v>
      </c>
      <c r="O453" t="str" cm="1">
        <f t="array" aca="1" ref="O453" ca="1">_xlfn.IFS(
L453&lt;=0,"Not Due",
L453&lt;=30,"0–30 Days",
L453&lt;=60,"31–60 Days",
L453&lt;=90,"61–90 Days",
L453&lt;=180,"91–180 Days",
L453&lt;=365,"181–365 Days",
L453&gt;365,"365+ Days (High Risk)"
)</f>
        <v>365+ Days (High Risk)</v>
      </c>
      <c r="P453">
        <f t="shared" si="55"/>
        <v>0</v>
      </c>
      <c r="Q453" s="3">
        <f t="shared" ca="1" si="53"/>
        <v>2984.83</v>
      </c>
    </row>
    <row r="454" spans="1:17" x14ac:dyDescent="0.25">
      <c r="A454" t="s">
        <v>458</v>
      </c>
      <c r="B454" t="s">
        <v>908</v>
      </c>
      <c r="C454" s="1">
        <v>45005</v>
      </c>
      <c r="D454" s="1">
        <v>45050</v>
      </c>
      <c r="E454">
        <v>5377.36</v>
      </c>
      <c r="F454" t="s">
        <v>913</v>
      </c>
      <c r="G454" t="s">
        <v>916</v>
      </c>
      <c r="I454" t="s">
        <v>919</v>
      </c>
      <c r="J454" t="b">
        <f t="shared" si="49"/>
        <v>1</v>
      </c>
      <c r="K454" s="3">
        <f t="shared" ca="1" si="50"/>
        <v>1046</v>
      </c>
      <c r="L454" s="3">
        <f t="shared" ca="1" si="51"/>
        <v>1001</v>
      </c>
      <c r="M454" t="str">
        <f t="shared" ca="1" si="52"/>
        <v>Overdue</v>
      </c>
      <c r="N454">
        <f t="shared" si="54"/>
        <v>5377.36</v>
      </c>
      <c r="O454" t="str" cm="1">
        <f t="array" aca="1" ref="O454" ca="1">_xlfn.IFS(
L454&lt;=0,"Not Due",
L454&lt;=30,"0–30 Days",
L454&lt;=60,"31–60 Days",
L454&lt;=90,"61–90 Days",
L454&lt;=180,"91–180 Days",
L454&lt;=365,"181–365 Days",
L454&gt;365,"365+ Days (High Risk)"
)</f>
        <v>365+ Days (High Risk)</v>
      </c>
      <c r="P454">
        <f t="shared" si="55"/>
        <v>0</v>
      </c>
      <c r="Q454" s="3">
        <f t="shared" ca="1" si="53"/>
        <v>5377.36</v>
      </c>
    </row>
    <row r="455" spans="1:17" x14ac:dyDescent="0.25">
      <c r="A455" t="s">
        <v>459</v>
      </c>
      <c r="B455" t="s">
        <v>908</v>
      </c>
      <c r="C455" s="1">
        <v>45568</v>
      </c>
      <c r="D455" s="1">
        <v>45613</v>
      </c>
      <c r="E455">
        <v>4366.74</v>
      </c>
      <c r="F455" t="s">
        <v>912</v>
      </c>
      <c r="G455" t="s">
        <v>917</v>
      </c>
      <c r="I455" t="s">
        <v>919</v>
      </c>
      <c r="J455" t="b">
        <f t="shared" si="49"/>
        <v>1</v>
      </c>
      <c r="K455" s="3">
        <f t="shared" ca="1" si="50"/>
        <v>483</v>
      </c>
      <c r="L455" s="3">
        <f t="shared" ca="1" si="51"/>
        <v>438</v>
      </c>
      <c r="M455" t="str">
        <f t="shared" ca="1" si="52"/>
        <v>Overdue</v>
      </c>
      <c r="N455">
        <f t="shared" si="54"/>
        <v>4366.74</v>
      </c>
      <c r="O455" t="str" cm="1">
        <f t="array" aca="1" ref="O455" ca="1">_xlfn.IFS(
L455&lt;=0,"Not Due",
L455&lt;=30,"0–30 Days",
L455&lt;=60,"31–60 Days",
L455&lt;=90,"61–90 Days",
L455&lt;=180,"91–180 Days",
L455&lt;=365,"181–365 Days",
L455&gt;365,"365+ Days (High Risk)"
)</f>
        <v>365+ Days (High Risk)</v>
      </c>
      <c r="P455">
        <f t="shared" si="55"/>
        <v>0</v>
      </c>
      <c r="Q455" s="3">
        <f t="shared" ca="1" si="53"/>
        <v>4366.74</v>
      </c>
    </row>
    <row r="456" spans="1:17" x14ac:dyDescent="0.25">
      <c r="A456" t="s">
        <v>460</v>
      </c>
      <c r="B456" t="s">
        <v>908</v>
      </c>
      <c r="C456" s="1">
        <v>45322</v>
      </c>
      <c r="D456" s="1">
        <v>45367</v>
      </c>
      <c r="E456">
        <v>2198.7600000000002</v>
      </c>
      <c r="F456" t="s">
        <v>913</v>
      </c>
      <c r="G456" t="s">
        <v>916</v>
      </c>
      <c r="I456" t="s">
        <v>919</v>
      </c>
      <c r="J456" t="b">
        <f t="shared" si="49"/>
        <v>1</v>
      </c>
      <c r="K456" s="3">
        <f t="shared" ca="1" si="50"/>
        <v>729</v>
      </c>
      <c r="L456" s="3">
        <f t="shared" ca="1" si="51"/>
        <v>684</v>
      </c>
      <c r="M456" t="str">
        <f t="shared" ca="1" si="52"/>
        <v>Overdue</v>
      </c>
      <c r="N456">
        <f t="shared" si="54"/>
        <v>2198.7600000000002</v>
      </c>
      <c r="O456" t="str" cm="1">
        <f t="array" aca="1" ref="O456" ca="1">_xlfn.IFS(
L456&lt;=0,"Not Due",
L456&lt;=30,"0–30 Days",
L456&lt;=60,"31–60 Days",
L456&lt;=90,"61–90 Days",
L456&lt;=180,"91–180 Days",
L456&lt;=365,"181–365 Days",
L456&gt;365,"365+ Days (High Risk)"
)</f>
        <v>365+ Days (High Risk)</v>
      </c>
      <c r="P456">
        <f t="shared" si="55"/>
        <v>0</v>
      </c>
      <c r="Q456" s="3">
        <f t="shared" ca="1" si="53"/>
        <v>2198.7600000000002</v>
      </c>
    </row>
    <row r="457" spans="1:17" x14ac:dyDescent="0.25">
      <c r="A457" t="s">
        <v>461</v>
      </c>
      <c r="B457" t="s">
        <v>906</v>
      </c>
      <c r="C457" s="1">
        <v>45111</v>
      </c>
      <c r="D457" s="1">
        <v>45156</v>
      </c>
      <c r="E457">
        <v>2079.5700000000002</v>
      </c>
      <c r="F457" t="s">
        <v>914</v>
      </c>
      <c r="G457" t="s">
        <v>917</v>
      </c>
      <c r="I457" t="s">
        <v>919</v>
      </c>
      <c r="J457" t="b">
        <f t="shared" si="49"/>
        <v>1</v>
      </c>
      <c r="K457" s="3">
        <f t="shared" ca="1" si="50"/>
        <v>940</v>
      </c>
      <c r="L457" s="3">
        <f t="shared" ca="1" si="51"/>
        <v>895</v>
      </c>
      <c r="M457" t="str">
        <f t="shared" ca="1" si="52"/>
        <v>Overdue</v>
      </c>
      <c r="N457">
        <f t="shared" si="54"/>
        <v>2079.5700000000002</v>
      </c>
      <c r="O457" t="str" cm="1">
        <f t="array" aca="1" ref="O457" ca="1">_xlfn.IFS(
L457&lt;=0,"Not Due",
L457&lt;=30,"0–30 Days",
L457&lt;=60,"31–60 Days",
L457&lt;=90,"61–90 Days",
L457&lt;=180,"91–180 Days",
L457&lt;=365,"181–365 Days",
L457&gt;365,"365+ Days (High Risk)"
)</f>
        <v>365+ Days (High Risk)</v>
      </c>
      <c r="P457">
        <f t="shared" si="55"/>
        <v>0</v>
      </c>
      <c r="Q457" s="3">
        <f t="shared" ca="1" si="53"/>
        <v>2079.5700000000002</v>
      </c>
    </row>
    <row r="458" spans="1:17" x14ac:dyDescent="0.25">
      <c r="A458" t="s">
        <v>462</v>
      </c>
      <c r="B458" t="s">
        <v>910</v>
      </c>
      <c r="C458" s="1">
        <v>45395</v>
      </c>
      <c r="D458" s="1">
        <v>45440</v>
      </c>
      <c r="E458">
        <v>6720.98</v>
      </c>
      <c r="F458" t="s">
        <v>915</v>
      </c>
      <c r="G458" t="s">
        <v>917</v>
      </c>
      <c r="I458" t="s">
        <v>919</v>
      </c>
      <c r="J458" t="b">
        <f t="shared" si="49"/>
        <v>1</v>
      </c>
      <c r="K458" s="3">
        <f t="shared" ca="1" si="50"/>
        <v>656</v>
      </c>
      <c r="L458" s="3">
        <f t="shared" ca="1" si="51"/>
        <v>611</v>
      </c>
      <c r="M458" t="str">
        <f t="shared" ca="1" si="52"/>
        <v>Overdue</v>
      </c>
      <c r="N458">
        <f t="shared" si="54"/>
        <v>6720.98</v>
      </c>
      <c r="O458" t="str" cm="1">
        <f t="array" aca="1" ref="O458" ca="1">_xlfn.IFS(
L458&lt;=0,"Not Due",
L458&lt;=30,"0–30 Days",
L458&lt;=60,"31–60 Days",
L458&lt;=90,"61–90 Days",
L458&lt;=180,"91–180 Days",
L458&lt;=365,"181–365 Days",
L458&gt;365,"365+ Days (High Risk)"
)</f>
        <v>365+ Days (High Risk)</v>
      </c>
      <c r="P458">
        <f t="shared" si="55"/>
        <v>0</v>
      </c>
      <c r="Q458" s="3">
        <f t="shared" ca="1" si="53"/>
        <v>6720.98</v>
      </c>
    </row>
    <row r="459" spans="1:17" x14ac:dyDescent="0.25">
      <c r="A459" t="s">
        <v>463</v>
      </c>
      <c r="B459" t="s">
        <v>908</v>
      </c>
      <c r="C459" s="1">
        <v>45151</v>
      </c>
      <c r="D459" s="1">
        <v>45196</v>
      </c>
      <c r="E459">
        <v>1057.5899999999999</v>
      </c>
      <c r="F459" t="s">
        <v>915</v>
      </c>
      <c r="G459" t="s">
        <v>916</v>
      </c>
      <c r="I459" t="s">
        <v>919</v>
      </c>
      <c r="J459" t="b">
        <f t="shared" si="49"/>
        <v>1</v>
      </c>
      <c r="K459" s="3">
        <f t="shared" ca="1" si="50"/>
        <v>900</v>
      </c>
      <c r="L459" s="3">
        <f t="shared" ca="1" si="51"/>
        <v>855</v>
      </c>
      <c r="M459" t="str">
        <f t="shared" ca="1" si="52"/>
        <v>Overdue</v>
      </c>
      <c r="N459">
        <f t="shared" si="54"/>
        <v>1057.5899999999999</v>
      </c>
      <c r="O459" t="str" cm="1">
        <f t="array" aca="1" ref="O459" ca="1">_xlfn.IFS(
L459&lt;=0,"Not Due",
L459&lt;=30,"0–30 Days",
L459&lt;=60,"31–60 Days",
L459&lt;=90,"61–90 Days",
L459&lt;=180,"91–180 Days",
L459&lt;=365,"181–365 Days",
L459&gt;365,"365+ Days (High Risk)"
)</f>
        <v>365+ Days (High Risk)</v>
      </c>
      <c r="P459">
        <f t="shared" si="55"/>
        <v>0</v>
      </c>
      <c r="Q459" s="3">
        <f t="shared" ca="1" si="53"/>
        <v>1057.5899999999999</v>
      </c>
    </row>
    <row r="460" spans="1:17" x14ac:dyDescent="0.25">
      <c r="A460" t="s">
        <v>464</v>
      </c>
      <c r="B460" t="s">
        <v>907</v>
      </c>
      <c r="C460" s="1">
        <v>45312</v>
      </c>
      <c r="D460" s="1">
        <v>45357</v>
      </c>
      <c r="E460">
        <v>2255.79</v>
      </c>
      <c r="F460" t="s">
        <v>911</v>
      </c>
      <c r="G460" t="s">
        <v>918</v>
      </c>
      <c r="H460" s="1">
        <v>45357</v>
      </c>
      <c r="I460" t="s">
        <v>919</v>
      </c>
      <c r="J460" t="b">
        <f t="shared" si="49"/>
        <v>0</v>
      </c>
      <c r="K460" s="3">
        <f t="shared" ca="1" si="50"/>
        <v>45</v>
      </c>
      <c r="L460" s="3">
        <f t="shared" ca="1" si="51"/>
        <v>0</v>
      </c>
      <c r="M460" t="str">
        <f t="shared" ca="1" si="52"/>
        <v>On Time</v>
      </c>
      <c r="N460">
        <f t="shared" si="54"/>
        <v>0</v>
      </c>
      <c r="O460" t="str" cm="1">
        <f t="array" aca="1" ref="O460" ca="1">_xlfn.IFS(
L460&lt;=0,"Not Due",
L460&lt;=30,"0–30 Days",
L460&lt;=60,"31–60 Days",
L460&lt;=90,"61–90 Days",
L460&lt;=180,"91–180 Days",
L460&lt;=365,"181–365 Days",
L460&gt;365,"365+ Days (High Risk)"
)</f>
        <v>Not Due</v>
      </c>
      <c r="P460">
        <f t="shared" si="55"/>
        <v>2255.79</v>
      </c>
      <c r="Q460" s="3">
        <f t="shared" ca="1" si="53"/>
        <v>0</v>
      </c>
    </row>
    <row r="461" spans="1:17" x14ac:dyDescent="0.25">
      <c r="A461" t="s">
        <v>465</v>
      </c>
      <c r="B461" t="s">
        <v>907</v>
      </c>
      <c r="C461" s="1">
        <v>45486</v>
      </c>
      <c r="D461" s="1">
        <v>45531</v>
      </c>
      <c r="E461">
        <v>5123.8599999999997</v>
      </c>
      <c r="F461" t="s">
        <v>911</v>
      </c>
      <c r="G461" t="s">
        <v>916</v>
      </c>
      <c r="I461" t="s">
        <v>919</v>
      </c>
      <c r="J461" t="b">
        <f t="shared" si="49"/>
        <v>1</v>
      </c>
      <c r="K461" s="3">
        <f t="shared" ca="1" si="50"/>
        <v>565</v>
      </c>
      <c r="L461" s="3">
        <f t="shared" ca="1" si="51"/>
        <v>520</v>
      </c>
      <c r="M461" t="str">
        <f t="shared" ca="1" si="52"/>
        <v>Overdue</v>
      </c>
      <c r="N461">
        <f t="shared" si="54"/>
        <v>5123.8599999999997</v>
      </c>
      <c r="O461" t="str" cm="1">
        <f t="array" aca="1" ref="O461" ca="1">_xlfn.IFS(
L461&lt;=0,"Not Due",
L461&lt;=30,"0–30 Days",
L461&lt;=60,"31–60 Days",
L461&lt;=90,"61–90 Days",
L461&lt;=180,"91–180 Days",
L461&lt;=365,"181–365 Days",
L461&gt;365,"365+ Days (High Risk)"
)</f>
        <v>365+ Days (High Risk)</v>
      </c>
      <c r="P461">
        <f t="shared" si="55"/>
        <v>0</v>
      </c>
      <c r="Q461" s="3">
        <f t="shared" ca="1" si="53"/>
        <v>5123.8599999999997</v>
      </c>
    </row>
    <row r="462" spans="1:17" x14ac:dyDescent="0.25">
      <c r="A462" t="s">
        <v>466</v>
      </c>
      <c r="B462" t="s">
        <v>906</v>
      </c>
      <c r="C462" s="1">
        <v>45298</v>
      </c>
      <c r="D462" s="1">
        <v>45343</v>
      </c>
      <c r="E462">
        <v>6519.59</v>
      </c>
      <c r="F462" t="s">
        <v>912</v>
      </c>
      <c r="G462" t="s">
        <v>916</v>
      </c>
      <c r="I462" t="s">
        <v>919</v>
      </c>
      <c r="J462" t="b">
        <f t="shared" si="49"/>
        <v>1</v>
      </c>
      <c r="K462" s="3">
        <f t="shared" ca="1" si="50"/>
        <v>753</v>
      </c>
      <c r="L462" s="3">
        <f t="shared" ca="1" si="51"/>
        <v>708</v>
      </c>
      <c r="M462" t="str">
        <f t="shared" ca="1" si="52"/>
        <v>Overdue</v>
      </c>
      <c r="N462">
        <f t="shared" si="54"/>
        <v>6519.59</v>
      </c>
      <c r="O462" t="str" cm="1">
        <f t="array" aca="1" ref="O462" ca="1">_xlfn.IFS(
L462&lt;=0,"Not Due",
L462&lt;=30,"0–30 Days",
L462&lt;=60,"31–60 Days",
L462&lt;=90,"61–90 Days",
L462&lt;=180,"91–180 Days",
L462&lt;=365,"181–365 Days",
L462&gt;365,"365+ Days (High Risk)"
)</f>
        <v>365+ Days (High Risk)</v>
      </c>
      <c r="P462">
        <f t="shared" si="55"/>
        <v>0</v>
      </c>
      <c r="Q462" s="3">
        <f t="shared" ca="1" si="53"/>
        <v>6519.59</v>
      </c>
    </row>
    <row r="463" spans="1:17" x14ac:dyDescent="0.25">
      <c r="A463" t="s">
        <v>467</v>
      </c>
      <c r="B463" t="s">
        <v>907</v>
      </c>
      <c r="C463" s="1">
        <v>45655</v>
      </c>
      <c r="D463" s="1">
        <v>45700</v>
      </c>
      <c r="E463">
        <v>662.3</v>
      </c>
      <c r="F463" t="s">
        <v>912</v>
      </c>
      <c r="G463" t="s">
        <v>918</v>
      </c>
      <c r="H463" s="1">
        <v>45700</v>
      </c>
      <c r="I463" t="s">
        <v>919</v>
      </c>
      <c r="J463" t="b">
        <f t="shared" si="49"/>
        <v>0</v>
      </c>
      <c r="K463" s="3">
        <f t="shared" ca="1" si="50"/>
        <v>45</v>
      </c>
      <c r="L463" s="3">
        <f t="shared" ca="1" si="51"/>
        <v>0</v>
      </c>
      <c r="M463" t="str">
        <f t="shared" ca="1" si="52"/>
        <v>On Time</v>
      </c>
      <c r="N463">
        <f t="shared" si="54"/>
        <v>0</v>
      </c>
      <c r="O463" t="str" cm="1">
        <f t="array" aca="1" ref="O463" ca="1">_xlfn.IFS(
L463&lt;=0,"Not Due",
L463&lt;=30,"0–30 Days",
L463&lt;=60,"31–60 Days",
L463&lt;=90,"61–90 Days",
L463&lt;=180,"91–180 Days",
L463&lt;=365,"181–365 Days",
L463&gt;365,"365+ Days (High Risk)"
)</f>
        <v>Not Due</v>
      </c>
      <c r="P463">
        <f t="shared" si="55"/>
        <v>662.3</v>
      </c>
      <c r="Q463" s="3">
        <f t="shared" ca="1" si="53"/>
        <v>0</v>
      </c>
    </row>
    <row r="464" spans="1:17" x14ac:dyDescent="0.25">
      <c r="A464" t="s">
        <v>468</v>
      </c>
      <c r="B464" t="s">
        <v>910</v>
      </c>
      <c r="C464" s="1">
        <v>45403</v>
      </c>
      <c r="D464" s="1">
        <v>45448</v>
      </c>
      <c r="E464">
        <v>1797.3</v>
      </c>
      <c r="F464" t="s">
        <v>912</v>
      </c>
      <c r="G464" t="s">
        <v>917</v>
      </c>
      <c r="I464" t="s">
        <v>919</v>
      </c>
      <c r="J464" t="b">
        <f t="shared" si="49"/>
        <v>1</v>
      </c>
      <c r="K464" s="3">
        <f t="shared" ca="1" si="50"/>
        <v>648</v>
      </c>
      <c r="L464" s="3">
        <f t="shared" ca="1" si="51"/>
        <v>603</v>
      </c>
      <c r="M464" t="str">
        <f t="shared" ca="1" si="52"/>
        <v>Overdue</v>
      </c>
      <c r="N464">
        <f t="shared" si="54"/>
        <v>1797.3</v>
      </c>
      <c r="O464" t="str" cm="1">
        <f t="array" aca="1" ref="O464" ca="1">_xlfn.IFS(
L464&lt;=0,"Not Due",
L464&lt;=30,"0–30 Days",
L464&lt;=60,"31–60 Days",
L464&lt;=90,"61–90 Days",
L464&lt;=180,"91–180 Days",
L464&lt;=365,"181–365 Days",
L464&gt;365,"365+ Days (High Risk)"
)</f>
        <v>365+ Days (High Risk)</v>
      </c>
      <c r="P464">
        <f t="shared" si="55"/>
        <v>0</v>
      </c>
      <c r="Q464" s="3">
        <f t="shared" ca="1" si="53"/>
        <v>1797.3</v>
      </c>
    </row>
    <row r="465" spans="1:17" x14ac:dyDescent="0.25">
      <c r="A465" t="s">
        <v>469</v>
      </c>
      <c r="B465" t="s">
        <v>909</v>
      </c>
      <c r="C465" s="1">
        <v>45063</v>
      </c>
      <c r="D465" s="1">
        <v>45108</v>
      </c>
      <c r="E465">
        <v>3397.38</v>
      </c>
      <c r="F465" t="s">
        <v>912</v>
      </c>
      <c r="G465" t="s">
        <v>918</v>
      </c>
      <c r="H465" s="1">
        <v>45108</v>
      </c>
      <c r="I465" t="s">
        <v>919</v>
      </c>
      <c r="J465" t="b">
        <f t="shared" si="49"/>
        <v>0</v>
      </c>
      <c r="K465" s="3">
        <f t="shared" ca="1" si="50"/>
        <v>45</v>
      </c>
      <c r="L465" s="3">
        <f t="shared" ca="1" si="51"/>
        <v>0</v>
      </c>
      <c r="M465" t="str">
        <f t="shared" ca="1" si="52"/>
        <v>On Time</v>
      </c>
      <c r="N465">
        <f t="shared" si="54"/>
        <v>0</v>
      </c>
      <c r="O465" t="str" cm="1">
        <f t="array" aca="1" ref="O465" ca="1">_xlfn.IFS(
L465&lt;=0,"Not Due",
L465&lt;=30,"0–30 Days",
L465&lt;=60,"31–60 Days",
L465&lt;=90,"61–90 Days",
L465&lt;=180,"91–180 Days",
L465&lt;=365,"181–365 Days",
L465&gt;365,"365+ Days (High Risk)"
)</f>
        <v>Not Due</v>
      </c>
      <c r="P465">
        <f t="shared" si="55"/>
        <v>3397.38</v>
      </c>
      <c r="Q465" s="3">
        <f t="shared" ca="1" si="53"/>
        <v>0</v>
      </c>
    </row>
    <row r="466" spans="1:17" x14ac:dyDescent="0.25">
      <c r="A466" t="s">
        <v>470</v>
      </c>
      <c r="B466" t="s">
        <v>909</v>
      </c>
      <c r="C466" s="1">
        <v>45328</v>
      </c>
      <c r="D466" s="1">
        <v>45373</v>
      </c>
      <c r="E466">
        <v>3447.69</v>
      </c>
      <c r="F466" t="s">
        <v>913</v>
      </c>
      <c r="G466" t="s">
        <v>918</v>
      </c>
      <c r="H466" s="1">
        <v>45373</v>
      </c>
      <c r="I466" t="s">
        <v>919</v>
      </c>
      <c r="J466" t="b">
        <f t="shared" si="49"/>
        <v>0</v>
      </c>
      <c r="K466" s="3">
        <f t="shared" ca="1" si="50"/>
        <v>45</v>
      </c>
      <c r="L466" s="3">
        <f t="shared" ca="1" si="51"/>
        <v>0</v>
      </c>
      <c r="M466" t="str">
        <f t="shared" ca="1" si="52"/>
        <v>On Time</v>
      </c>
      <c r="N466">
        <f t="shared" si="54"/>
        <v>0</v>
      </c>
      <c r="O466" t="str" cm="1">
        <f t="array" aca="1" ref="O466" ca="1">_xlfn.IFS(
L466&lt;=0,"Not Due",
L466&lt;=30,"0–30 Days",
L466&lt;=60,"31–60 Days",
L466&lt;=90,"61–90 Days",
L466&lt;=180,"91–180 Days",
L466&lt;=365,"181–365 Days",
L466&gt;365,"365+ Days (High Risk)"
)</f>
        <v>Not Due</v>
      </c>
      <c r="P466">
        <f t="shared" si="55"/>
        <v>3447.69</v>
      </c>
      <c r="Q466" s="3">
        <f t="shared" ca="1" si="53"/>
        <v>0</v>
      </c>
    </row>
    <row r="467" spans="1:17" x14ac:dyDescent="0.25">
      <c r="A467" t="s">
        <v>471</v>
      </c>
      <c r="B467" t="s">
        <v>910</v>
      </c>
      <c r="C467" s="1">
        <v>45402</v>
      </c>
      <c r="D467" s="1">
        <v>45447</v>
      </c>
      <c r="E467">
        <v>1445.51</v>
      </c>
      <c r="F467" t="s">
        <v>913</v>
      </c>
      <c r="G467" t="s">
        <v>916</v>
      </c>
      <c r="I467" t="s">
        <v>919</v>
      </c>
      <c r="J467" t="b">
        <f t="shared" si="49"/>
        <v>1</v>
      </c>
      <c r="K467" s="3">
        <f t="shared" ca="1" si="50"/>
        <v>649</v>
      </c>
      <c r="L467" s="3">
        <f t="shared" ca="1" si="51"/>
        <v>604</v>
      </c>
      <c r="M467" t="str">
        <f t="shared" ca="1" si="52"/>
        <v>Overdue</v>
      </c>
      <c r="N467">
        <f t="shared" si="54"/>
        <v>1445.51</v>
      </c>
      <c r="O467" t="str" cm="1">
        <f t="array" aca="1" ref="O467" ca="1">_xlfn.IFS(
L467&lt;=0,"Not Due",
L467&lt;=30,"0–30 Days",
L467&lt;=60,"31–60 Days",
L467&lt;=90,"61–90 Days",
L467&lt;=180,"91–180 Days",
L467&lt;=365,"181–365 Days",
L467&gt;365,"365+ Days (High Risk)"
)</f>
        <v>365+ Days (High Risk)</v>
      </c>
      <c r="P467">
        <f t="shared" si="55"/>
        <v>0</v>
      </c>
      <c r="Q467" s="3">
        <f t="shared" ca="1" si="53"/>
        <v>1445.51</v>
      </c>
    </row>
    <row r="468" spans="1:17" x14ac:dyDescent="0.25">
      <c r="A468" t="s">
        <v>472</v>
      </c>
      <c r="B468" t="s">
        <v>910</v>
      </c>
      <c r="C468" s="1">
        <v>45723</v>
      </c>
      <c r="D468" s="1">
        <v>45768</v>
      </c>
      <c r="E468">
        <v>5287.65</v>
      </c>
      <c r="F468" t="s">
        <v>911</v>
      </c>
      <c r="G468" t="s">
        <v>916</v>
      </c>
      <c r="I468" t="s">
        <v>919</v>
      </c>
      <c r="J468" t="b">
        <f t="shared" si="49"/>
        <v>1</v>
      </c>
      <c r="K468" s="3">
        <f t="shared" ca="1" si="50"/>
        <v>328</v>
      </c>
      <c r="L468" s="3">
        <f t="shared" ca="1" si="51"/>
        <v>283</v>
      </c>
      <c r="M468" t="str">
        <f t="shared" ca="1" si="52"/>
        <v>Overdue</v>
      </c>
      <c r="N468">
        <f t="shared" si="54"/>
        <v>5287.65</v>
      </c>
      <c r="O468" t="str" cm="1">
        <f t="array" aca="1" ref="O468" ca="1">_xlfn.IFS(
L468&lt;=0,"Not Due",
L468&lt;=30,"0–30 Days",
L468&lt;=60,"31–60 Days",
L468&lt;=90,"61–90 Days",
L468&lt;=180,"91–180 Days",
L468&lt;=365,"181–365 Days",
L468&gt;365,"365+ Days (High Risk)"
)</f>
        <v>181–365 Days</v>
      </c>
      <c r="P468">
        <f t="shared" si="55"/>
        <v>0</v>
      </c>
      <c r="Q468" s="3">
        <f t="shared" ca="1" si="53"/>
        <v>5287.65</v>
      </c>
    </row>
    <row r="469" spans="1:17" x14ac:dyDescent="0.25">
      <c r="A469" t="s">
        <v>473</v>
      </c>
      <c r="B469" t="s">
        <v>907</v>
      </c>
      <c r="C469" s="1">
        <v>45342</v>
      </c>
      <c r="D469" s="1">
        <v>45387</v>
      </c>
      <c r="E469">
        <v>6849.97</v>
      </c>
      <c r="F469" t="s">
        <v>915</v>
      </c>
      <c r="G469" t="s">
        <v>916</v>
      </c>
      <c r="I469" t="s">
        <v>919</v>
      </c>
      <c r="J469" t="b">
        <f t="shared" si="49"/>
        <v>1</v>
      </c>
      <c r="K469" s="3">
        <f t="shared" ca="1" si="50"/>
        <v>709</v>
      </c>
      <c r="L469" s="3">
        <f t="shared" ca="1" si="51"/>
        <v>664</v>
      </c>
      <c r="M469" t="str">
        <f t="shared" ca="1" si="52"/>
        <v>Overdue</v>
      </c>
      <c r="N469">
        <f t="shared" si="54"/>
        <v>6849.97</v>
      </c>
      <c r="O469" t="str" cm="1">
        <f t="array" aca="1" ref="O469" ca="1">_xlfn.IFS(
L469&lt;=0,"Not Due",
L469&lt;=30,"0–30 Days",
L469&lt;=60,"31–60 Days",
L469&lt;=90,"61–90 Days",
L469&lt;=180,"91–180 Days",
L469&lt;=365,"181–365 Days",
L469&gt;365,"365+ Days (High Risk)"
)</f>
        <v>365+ Days (High Risk)</v>
      </c>
      <c r="P469">
        <f t="shared" si="55"/>
        <v>0</v>
      </c>
      <c r="Q469" s="3">
        <f t="shared" ca="1" si="53"/>
        <v>6849.97</v>
      </c>
    </row>
    <row r="470" spans="1:17" x14ac:dyDescent="0.25">
      <c r="A470" t="s">
        <v>474</v>
      </c>
      <c r="B470" t="s">
        <v>907</v>
      </c>
      <c r="C470" s="1">
        <v>44959</v>
      </c>
      <c r="D470" s="1">
        <v>45004</v>
      </c>
      <c r="E470">
        <v>3057.81</v>
      </c>
      <c r="F470" t="s">
        <v>913</v>
      </c>
      <c r="G470" t="s">
        <v>917</v>
      </c>
      <c r="I470" t="s">
        <v>919</v>
      </c>
      <c r="J470" t="b">
        <f t="shared" si="49"/>
        <v>1</v>
      </c>
      <c r="K470" s="3">
        <f t="shared" ca="1" si="50"/>
        <v>1092</v>
      </c>
      <c r="L470" s="3">
        <f t="shared" ca="1" si="51"/>
        <v>1047</v>
      </c>
      <c r="M470" t="str">
        <f t="shared" ca="1" si="52"/>
        <v>Overdue</v>
      </c>
      <c r="N470">
        <f t="shared" si="54"/>
        <v>3057.81</v>
      </c>
      <c r="O470" t="str" cm="1">
        <f t="array" aca="1" ref="O470" ca="1">_xlfn.IFS(
L470&lt;=0,"Not Due",
L470&lt;=30,"0–30 Days",
L470&lt;=60,"31–60 Days",
L470&lt;=90,"61–90 Days",
L470&lt;=180,"91–180 Days",
L470&lt;=365,"181–365 Days",
L470&gt;365,"365+ Days (High Risk)"
)</f>
        <v>365+ Days (High Risk)</v>
      </c>
      <c r="P470">
        <f t="shared" si="55"/>
        <v>0</v>
      </c>
      <c r="Q470" s="3">
        <f t="shared" ca="1" si="53"/>
        <v>3057.81</v>
      </c>
    </row>
    <row r="471" spans="1:17" x14ac:dyDescent="0.25">
      <c r="A471" t="s">
        <v>475</v>
      </c>
      <c r="B471" t="s">
        <v>908</v>
      </c>
      <c r="C471" s="1">
        <v>45586</v>
      </c>
      <c r="D471" s="1">
        <v>45631</v>
      </c>
      <c r="E471">
        <v>228.89</v>
      </c>
      <c r="F471" t="s">
        <v>914</v>
      </c>
      <c r="G471" t="s">
        <v>918</v>
      </c>
      <c r="H471" s="1">
        <v>45631</v>
      </c>
      <c r="I471" t="s">
        <v>919</v>
      </c>
      <c r="J471" t="b">
        <f t="shared" si="49"/>
        <v>0</v>
      </c>
      <c r="K471" s="3">
        <f t="shared" ca="1" si="50"/>
        <v>45</v>
      </c>
      <c r="L471" s="3">
        <f t="shared" ca="1" si="51"/>
        <v>0</v>
      </c>
      <c r="M471" t="str">
        <f t="shared" ca="1" si="52"/>
        <v>On Time</v>
      </c>
      <c r="N471">
        <f t="shared" si="54"/>
        <v>0</v>
      </c>
      <c r="O471" t="str" cm="1">
        <f t="array" aca="1" ref="O471" ca="1">_xlfn.IFS(
L471&lt;=0,"Not Due",
L471&lt;=30,"0–30 Days",
L471&lt;=60,"31–60 Days",
L471&lt;=90,"61–90 Days",
L471&lt;=180,"91–180 Days",
L471&lt;=365,"181–365 Days",
L471&gt;365,"365+ Days (High Risk)"
)</f>
        <v>Not Due</v>
      </c>
      <c r="P471">
        <f t="shared" si="55"/>
        <v>228.89</v>
      </c>
      <c r="Q471" s="3">
        <f t="shared" ca="1" si="53"/>
        <v>0</v>
      </c>
    </row>
    <row r="472" spans="1:17" x14ac:dyDescent="0.25">
      <c r="A472" t="s">
        <v>476</v>
      </c>
      <c r="B472" t="s">
        <v>906</v>
      </c>
      <c r="C472" s="1">
        <v>45714</v>
      </c>
      <c r="D472" s="1">
        <v>45759</v>
      </c>
      <c r="E472">
        <v>2991.8</v>
      </c>
      <c r="F472" t="s">
        <v>911</v>
      </c>
      <c r="G472" t="s">
        <v>918</v>
      </c>
      <c r="H472" s="1">
        <v>45759</v>
      </c>
      <c r="I472" t="s">
        <v>919</v>
      </c>
      <c r="J472" t="b">
        <f t="shared" si="49"/>
        <v>0</v>
      </c>
      <c r="K472" s="3">
        <f t="shared" ca="1" si="50"/>
        <v>45</v>
      </c>
      <c r="L472" s="3">
        <f t="shared" ca="1" si="51"/>
        <v>0</v>
      </c>
      <c r="M472" t="str">
        <f t="shared" ca="1" si="52"/>
        <v>On Time</v>
      </c>
      <c r="N472">
        <f t="shared" si="54"/>
        <v>0</v>
      </c>
      <c r="O472" t="str" cm="1">
        <f t="array" aca="1" ref="O472" ca="1">_xlfn.IFS(
L472&lt;=0,"Not Due",
L472&lt;=30,"0–30 Days",
L472&lt;=60,"31–60 Days",
L472&lt;=90,"61–90 Days",
L472&lt;=180,"91–180 Days",
L472&lt;=365,"181–365 Days",
L472&gt;365,"365+ Days (High Risk)"
)</f>
        <v>Not Due</v>
      </c>
      <c r="P472">
        <f t="shared" si="55"/>
        <v>2991.8</v>
      </c>
      <c r="Q472" s="3">
        <f t="shared" ca="1" si="53"/>
        <v>0</v>
      </c>
    </row>
    <row r="473" spans="1:17" x14ac:dyDescent="0.25">
      <c r="A473" t="s">
        <v>477</v>
      </c>
      <c r="B473" t="s">
        <v>908</v>
      </c>
      <c r="C473" s="1">
        <v>45098</v>
      </c>
      <c r="D473" s="1">
        <v>45143</v>
      </c>
      <c r="E473">
        <v>5406.93</v>
      </c>
      <c r="F473" t="s">
        <v>915</v>
      </c>
      <c r="G473" t="s">
        <v>917</v>
      </c>
      <c r="I473" t="s">
        <v>919</v>
      </c>
      <c r="J473" t="b">
        <f t="shared" si="49"/>
        <v>1</v>
      </c>
      <c r="K473" s="3">
        <f t="shared" ca="1" si="50"/>
        <v>953</v>
      </c>
      <c r="L473" s="3">
        <f t="shared" ca="1" si="51"/>
        <v>908</v>
      </c>
      <c r="M473" t="str">
        <f t="shared" ca="1" si="52"/>
        <v>Overdue</v>
      </c>
      <c r="N473">
        <f t="shared" si="54"/>
        <v>5406.93</v>
      </c>
      <c r="O473" t="str" cm="1">
        <f t="array" aca="1" ref="O473" ca="1">_xlfn.IFS(
L473&lt;=0,"Not Due",
L473&lt;=30,"0–30 Days",
L473&lt;=60,"31–60 Days",
L473&lt;=90,"61–90 Days",
L473&lt;=180,"91–180 Days",
L473&lt;=365,"181–365 Days",
L473&gt;365,"365+ Days (High Risk)"
)</f>
        <v>365+ Days (High Risk)</v>
      </c>
      <c r="P473">
        <f t="shared" si="55"/>
        <v>0</v>
      </c>
      <c r="Q473" s="3">
        <f t="shared" ca="1" si="53"/>
        <v>5406.93</v>
      </c>
    </row>
    <row r="474" spans="1:17" x14ac:dyDescent="0.25">
      <c r="A474" t="s">
        <v>478</v>
      </c>
      <c r="B474" t="s">
        <v>906</v>
      </c>
      <c r="C474" s="1">
        <v>45617</v>
      </c>
      <c r="D474" s="1">
        <v>45662</v>
      </c>
      <c r="E474">
        <v>6854.97</v>
      </c>
      <c r="F474" t="s">
        <v>911</v>
      </c>
      <c r="G474" t="s">
        <v>916</v>
      </c>
      <c r="I474" t="s">
        <v>919</v>
      </c>
      <c r="J474" t="b">
        <f t="shared" si="49"/>
        <v>1</v>
      </c>
      <c r="K474" s="3">
        <f t="shared" ca="1" si="50"/>
        <v>434</v>
      </c>
      <c r="L474" s="3">
        <f t="shared" ca="1" si="51"/>
        <v>389</v>
      </c>
      <c r="M474" t="str">
        <f t="shared" ca="1" si="52"/>
        <v>Overdue</v>
      </c>
      <c r="N474">
        <f t="shared" si="54"/>
        <v>6854.97</v>
      </c>
      <c r="O474" t="str" cm="1">
        <f t="array" aca="1" ref="O474" ca="1">_xlfn.IFS(
L474&lt;=0,"Not Due",
L474&lt;=30,"0–30 Days",
L474&lt;=60,"31–60 Days",
L474&lt;=90,"61–90 Days",
L474&lt;=180,"91–180 Days",
L474&lt;=365,"181–365 Days",
L474&gt;365,"365+ Days (High Risk)"
)</f>
        <v>365+ Days (High Risk)</v>
      </c>
      <c r="P474">
        <f t="shared" si="55"/>
        <v>0</v>
      </c>
      <c r="Q474" s="3">
        <f t="shared" ca="1" si="53"/>
        <v>6854.97</v>
      </c>
    </row>
    <row r="475" spans="1:17" x14ac:dyDescent="0.25">
      <c r="A475" t="s">
        <v>479</v>
      </c>
      <c r="B475" t="s">
        <v>909</v>
      </c>
      <c r="C475" s="1">
        <v>44954</v>
      </c>
      <c r="D475" s="1">
        <v>44999</v>
      </c>
      <c r="E475">
        <v>877.13</v>
      </c>
      <c r="F475" t="s">
        <v>912</v>
      </c>
      <c r="G475" t="s">
        <v>918</v>
      </c>
      <c r="H475" s="1">
        <v>44999</v>
      </c>
      <c r="I475" t="s">
        <v>919</v>
      </c>
      <c r="J475" t="b">
        <f t="shared" si="49"/>
        <v>0</v>
      </c>
      <c r="K475" s="3">
        <f t="shared" ca="1" si="50"/>
        <v>45</v>
      </c>
      <c r="L475" s="3">
        <f t="shared" ca="1" si="51"/>
        <v>0</v>
      </c>
      <c r="M475" t="str">
        <f t="shared" ca="1" si="52"/>
        <v>On Time</v>
      </c>
      <c r="N475">
        <f t="shared" si="54"/>
        <v>0</v>
      </c>
      <c r="O475" t="str" cm="1">
        <f t="array" aca="1" ref="O475" ca="1">_xlfn.IFS(
L475&lt;=0,"Not Due",
L475&lt;=30,"0–30 Days",
L475&lt;=60,"31–60 Days",
L475&lt;=90,"61–90 Days",
L475&lt;=180,"91–180 Days",
L475&lt;=365,"181–365 Days",
L475&gt;365,"365+ Days (High Risk)"
)</f>
        <v>Not Due</v>
      </c>
      <c r="P475">
        <f t="shared" si="55"/>
        <v>877.13</v>
      </c>
      <c r="Q475" s="3">
        <f t="shared" ca="1" si="53"/>
        <v>0</v>
      </c>
    </row>
    <row r="476" spans="1:17" x14ac:dyDescent="0.25">
      <c r="A476" t="s">
        <v>480</v>
      </c>
      <c r="B476" t="s">
        <v>910</v>
      </c>
      <c r="C476" s="1">
        <v>45391</v>
      </c>
      <c r="D476" s="1">
        <v>45436</v>
      </c>
      <c r="E476">
        <v>2494.5300000000002</v>
      </c>
      <c r="F476" t="s">
        <v>912</v>
      </c>
      <c r="G476" t="s">
        <v>917</v>
      </c>
      <c r="I476" t="s">
        <v>919</v>
      </c>
      <c r="J476" t="b">
        <f t="shared" si="49"/>
        <v>1</v>
      </c>
      <c r="K476" s="3">
        <f t="shared" ca="1" si="50"/>
        <v>660</v>
      </c>
      <c r="L476" s="3">
        <f t="shared" ca="1" si="51"/>
        <v>615</v>
      </c>
      <c r="M476" t="str">
        <f t="shared" ca="1" si="52"/>
        <v>Overdue</v>
      </c>
      <c r="N476">
        <f t="shared" si="54"/>
        <v>2494.5300000000002</v>
      </c>
      <c r="O476" t="str" cm="1">
        <f t="array" aca="1" ref="O476" ca="1">_xlfn.IFS(
L476&lt;=0,"Not Due",
L476&lt;=30,"0–30 Days",
L476&lt;=60,"31–60 Days",
L476&lt;=90,"61–90 Days",
L476&lt;=180,"91–180 Days",
L476&lt;=365,"181–365 Days",
L476&gt;365,"365+ Days (High Risk)"
)</f>
        <v>365+ Days (High Risk)</v>
      </c>
      <c r="P476">
        <f t="shared" si="55"/>
        <v>0</v>
      </c>
      <c r="Q476" s="3">
        <f t="shared" ca="1" si="53"/>
        <v>2494.5300000000002</v>
      </c>
    </row>
    <row r="477" spans="1:17" x14ac:dyDescent="0.25">
      <c r="A477" t="s">
        <v>481</v>
      </c>
      <c r="B477" t="s">
        <v>906</v>
      </c>
      <c r="C477" s="1">
        <v>45028</v>
      </c>
      <c r="D477" s="1">
        <v>45073</v>
      </c>
      <c r="E477">
        <v>3610.15</v>
      </c>
      <c r="F477" t="s">
        <v>914</v>
      </c>
      <c r="G477" t="s">
        <v>917</v>
      </c>
      <c r="I477" t="s">
        <v>919</v>
      </c>
      <c r="J477" t="b">
        <f t="shared" si="49"/>
        <v>1</v>
      </c>
      <c r="K477" s="3">
        <f t="shared" ca="1" si="50"/>
        <v>1023</v>
      </c>
      <c r="L477" s="3">
        <f t="shared" ca="1" si="51"/>
        <v>978</v>
      </c>
      <c r="M477" t="str">
        <f t="shared" ca="1" si="52"/>
        <v>Overdue</v>
      </c>
      <c r="N477">
        <f t="shared" si="54"/>
        <v>3610.15</v>
      </c>
      <c r="O477" t="str" cm="1">
        <f t="array" aca="1" ref="O477" ca="1">_xlfn.IFS(
L477&lt;=0,"Not Due",
L477&lt;=30,"0–30 Days",
L477&lt;=60,"31–60 Days",
L477&lt;=90,"61–90 Days",
L477&lt;=180,"91–180 Days",
L477&lt;=365,"181–365 Days",
L477&gt;365,"365+ Days (High Risk)"
)</f>
        <v>365+ Days (High Risk)</v>
      </c>
      <c r="P477">
        <f t="shared" si="55"/>
        <v>0</v>
      </c>
      <c r="Q477" s="3">
        <f t="shared" ca="1" si="53"/>
        <v>3610.15</v>
      </c>
    </row>
    <row r="478" spans="1:17" x14ac:dyDescent="0.25">
      <c r="A478" t="s">
        <v>482</v>
      </c>
      <c r="B478" t="s">
        <v>906</v>
      </c>
      <c r="C478" s="1">
        <v>45516</v>
      </c>
      <c r="D478" s="1">
        <v>45561</v>
      </c>
      <c r="E478">
        <v>2501.8000000000002</v>
      </c>
      <c r="F478" t="s">
        <v>913</v>
      </c>
      <c r="G478" t="s">
        <v>918</v>
      </c>
      <c r="H478" s="1">
        <v>45561</v>
      </c>
      <c r="I478" t="s">
        <v>919</v>
      </c>
      <c r="J478" t="b">
        <f t="shared" si="49"/>
        <v>0</v>
      </c>
      <c r="K478" s="3">
        <f t="shared" ca="1" si="50"/>
        <v>45</v>
      </c>
      <c r="L478" s="3">
        <f t="shared" ca="1" si="51"/>
        <v>0</v>
      </c>
      <c r="M478" t="str">
        <f t="shared" ca="1" si="52"/>
        <v>On Time</v>
      </c>
      <c r="N478">
        <f t="shared" si="54"/>
        <v>0</v>
      </c>
      <c r="O478" t="str" cm="1">
        <f t="array" aca="1" ref="O478" ca="1">_xlfn.IFS(
L478&lt;=0,"Not Due",
L478&lt;=30,"0–30 Days",
L478&lt;=60,"31–60 Days",
L478&lt;=90,"61–90 Days",
L478&lt;=180,"91–180 Days",
L478&lt;=365,"181–365 Days",
L478&gt;365,"365+ Days (High Risk)"
)</f>
        <v>Not Due</v>
      </c>
      <c r="P478">
        <f t="shared" si="55"/>
        <v>2501.8000000000002</v>
      </c>
      <c r="Q478" s="3">
        <f t="shared" ca="1" si="53"/>
        <v>0</v>
      </c>
    </row>
    <row r="479" spans="1:17" x14ac:dyDescent="0.25">
      <c r="A479" t="s">
        <v>483</v>
      </c>
      <c r="B479" t="s">
        <v>909</v>
      </c>
      <c r="C479" s="1">
        <v>45371</v>
      </c>
      <c r="D479" s="1">
        <v>45416</v>
      </c>
      <c r="E479">
        <v>2866.83</v>
      </c>
      <c r="F479" t="s">
        <v>911</v>
      </c>
      <c r="G479" t="s">
        <v>917</v>
      </c>
      <c r="I479" t="s">
        <v>919</v>
      </c>
      <c r="J479" t="b">
        <f t="shared" si="49"/>
        <v>1</v>
      </c>
      <c r="K479" s="3">
        <f t="shared" ca="1" si="50"/>
        <v>680</v>
      </c>
      <c r="L479" s="3">
        <f t="shared" ca="1" si="51"/>
        <v>635</v>
      </c>
      <c r="M479" t="str">
        <f t="shared" ca="1" si="52"/>
        <v>Overdue</v>
      </c>
      <c r="N479">
        <f t="shared" si="54"/>
        <v>2866.83</v>
      </c>
      <c r="O479" t="str" cm="1">
        <f t="array" aca="1" ref="O479" ca="1">_xlfn.IFS(
L479&lt;=0,"Not Due",
L479&lt;=30,"0–30 Days",
L479&lt;=60,"31–60 Days",
L479&lt;=90,"61–90 Days",
L479&lt;=180,"91–180 Days",
L479&lt;=365,"181–365 Days",
L479&gt;365,"365+ Days (High Risk)"
)</f>
        <v>365+ Days (High Risk)</v>
      </c>
      <c r="P479">
        <f t="shared" si="55"/>
        <v>0</v>
      </c>
      <c r="Q479" s="3">
        <f t="shared" ca="1" si="53"/>
        <v>2866.83</v>
      </c>
    </row>
    <row r="480" spans="1:17" x14ac:dyDescent="0.25">
      <c r="A480" t="s">
        <v>484</v>
      </c>
      <c r="B480" t="s">
        <v>910</v>
      </c>
      <c r="C480" s="1">
        <v>45244</v>
      </c>
      <c r="D480" s="1">
        <v>45289</v>
      </c>
      <c r="E480">
        <v>6939.15</v>
      </c>
      <c r="F480" t="s">
        <v>914</v>
      </c>
      <c r="G480" t="s">
        <v>917</v>
      </c>
      <c r="I480" t="s">
        <v>919</v>
      </c>
      <c r="J480" t="b">
        <f t="shared" si="49"/>
        <v>1</v>
      </c>
      <c r="K480" s="3">
        <f t="shared" ca="1" si="50"/>
        <v>807</v>
      </c>
      <c r="L480" s="3">
        <f t="shared" ca="1" si="51"/>
        <v>762</v>
      </c>
      <c r="M480" t="str">
        <f t="shared" ca="1" si="52"/>
        <v>Overdue</v>
      </c>
      <c r="N480">
        <f t="shared" si="54"/>
        <v>6939.15</v>
      </c>
      <c r="O480" t="str" cm="1">
        <f t="array" aca="1" ref="O480" ca="1">_xlfn.IFS(
L480&lt;=0,"Not Due",
L480&lt;=30,"0–30 Days",
L480&lt;=60,"31–60 Days",
L480&lt;=90,"61–90 Days",
L480&lt;=180,"91–180 Days",
L480&lt;=365,"181–365 Days",
L480&gt;365,"365+ Days (High Risk)"
)</f>
        <v>365+ Days (High Risk)</v>
      </c>
      <c r="P480">
        <f t="shared" si="55"/>
        <v>0</v>
      </c>
      <c r="Q480" s="3">
        <f t="shared" ca="1" si="53"/>
        <v>6939.15</v>
      </c>
    </row>
    <row r="481" spans="1:17" x14ac:dyDescent="0.25">
      <c r="A481" t="s">
        <v>485</v>
      </c>
      <c r="B481" t="s">
        <v>909</v>
      </c>
      <c r="C481" s="1">
        <v>44963</v>
      </c>
      <c r="D481" s="1">
        <v>45008</v>
      </c>
      <c r="E481">
        <v>2509.56</v>
      </c>
      <c r="F481" t="s">
        <v>912</v>
      </c>
      <c r="G481" t="s">
        <v>916</v>
      </c>
      <c r="I481" t="s">
        <v>919</v>
      </c>
      <c r="J481" t="b">
        <f t="shared" si="49"/>
        <v>1</v>
      </c>
      <c r="K481" s="3">
        <f t="shared" ca="1" si="50"/>
        <v>1088</v>
      </c>
      <c r="L481" s="3">
        <f t="shared" ca="1" si="51"/>
        <v>1043</v>
      </c>
      <c r="M481" t="str">
        <f t="shared" ca="1" si="52"/>
        <v>Overdue</v>
      </c>
      <c r="N481">
        <f t="shared" si="54"/>
        <v>2509.56</v>
      </c>
      <c r="O481" t="str" cm="1">
        <f t="array" aca="1" ref="O481" ca="1">_xlfn.IFS(
L481&lt;=0,"Not Due",
L481&lt;=30,"0–30 Days",
L481&lt;=60,"31–60 Days",
L481&lt;=90,"61–90 Days",
L481&lt;=180,"91–180 Days",
L481&lt;=365,"181–365 Days",
L481&gt;365,"365+ Days (High Risk)"
)</f>
        <v>365+ Days (High Risk)</v>
      </c>
      <c r="P481">
        <f t="shared" si="55"/>
        <v>0</v>
      </c>
      <c r="Q481" s="3">
        <f t="shared" ca="1" si="53"/>
        <v>2509.56</v>
      </c>
    </row>
    <row r="482" spans="1:17" x14ac:dyDescent="0.25">
      <c r="A482" t="s">
        <v>486</v>
      </c>
      <c r="B482" t="s">
        <v>910</v>
      </c>
      <c r="C482" s="1">
        <v>45723</v>
      </c>
      <c r="D482" s="1">
        <v>45768</v>
      </c>
      <c r="E482">
        <v>6743.85</v>
      </c>
      <c r="F482" t="s">
        <v>913</v>
      </c>
      <c r="G482" t="s">
        <v>918</v>
      </c>
      <c r="H482" s="1">
        <v>45768</v>
      </c>
      <c r="I482" t="s">
        <v>919</v>
      </c>
      <c r="J482" t="b">
        <f t="shared" si="49"/>
        <v>0</v>
      </c>
      <c r="K482" s="3">
        <f t="shared" ca="1" si="50"/>
        <v>45</v>
      </c>
      <c r="L482" s="3">
        <f t="shared" ca="1" si="51"/>
        <v>0</v>
      </c>
      <c r="M482" t="str">
        <f t="shared" ca="1" si="52"/>
        <v>On Time</v>
      </c>
      <c r="N482">
        <f t="shared" si="54"/>
        <v>0</v>
      </c>
      <c r="O482" t="str" cm="1">
        <f t="array" aca="1" ref="O482" ca="1">_xlfn.IFS(
L482&lt;=0,"Not Due",
L482&lt;=30,"0–30 Days",
L482&lt;=60,"31–60 Days",
L482&lt;=90,"61–90 Days",
L482&lt;=180,"91–180 Days",
L482&lt;=365,"181–365 Days",
L482&gt;365,"365+ Days (High Risk)"
)</f>
        <v>Not Due</v>
      </c>
      <c r="P482">
        <f t="shared" si="55"/>
        <v>6743.85</v>
      </c>
      <c r="Q482" s="3">
        <f t="shared" ca="1" si="53"/>
        <v>0</v>
      </c>
    </row>
    <row r="483" spans="1:17" x14ac:dyDescent="0.25">
      <c r="A483" t="s">
        <v>487</v>
      </c>
      <c r="B483" t="s">
        <v>910</v>
      </c>
      <c r="C483" s="1">
        <v>45064</v>
      </c>
      <c r="D483" s="1">
        <v>45109</v>
      </c>
      <c r="E483">
        <v>1370.41</v>
      </c>
      <c r="F483" t="s">
        <v>912</v>
      </c>
      <c r="G483" t="s">
        <v>916</v>
      </c>
      <c r="I483" t="s">
        <v>919</v>
      </c>
      <c r="J483" t="b">
        <f t="shared" si="49"/>
        <v>1</v>
      </c>
      <c r="K483" s="3">
        <f t="shared" ca="1" si="50"/>
        <v>987</v>
      </c>
      <c r="L483" s="3">
        <f t="shared" ca="1" si="51"/>
        <v>942</v>
      </c>
      <c r="M483" t="str">
        <f t="shared" ca="1" si="52"/>
        <v>Overdue</v>
      </c>
      <c r="N483">
        <f t="shared" si="54"/>
        <v>1370.41</v>
      </c>
      <c r="O483" t="str" cm="1">
        <f t="array" aca="1" ref="O483" ca="1">_xlfn.IFS(
L483&lt;=0,"Not Due",
L483&lt;=30,"0–30 Days",
L483&lt;=60,"31–60 Days",
L483&lt;=90,"61–90 Days",
L483&lt;=180,"91–180 Days",
L483&lt;=365,"181–365 Days",
L483&gt;365,"365+ Days (High Risk)"
)</f>
        <v>365+ Days (High Risk)</v>
      </c>
      <c r="P483">
        <f t="shared" si="55"/>
        <v>0</v>
      </c>
      <c r="Q483" s="3">
        <f t="shared" ca="1" si="53"/>
        <v>1370.41</v>
      </c>
    </row>
    <row r="484" spans="1:17" x14ac:dyDescent="0.25">
      <c r="A484" t="s">
        <v>488</v>
      </c>
      <c r="B484" t="s">
        <v>906</v>
      </c>
      <c r="C484" s="1">
        <v>45707</v>
      </c>
      <c r="D484" s="1">
        <v>45752</v>
      </c>
      <c r="E484">
        <v>4623.54</v>
      </c>
      <c r="F484" t="s">
        <v>912</v>
      </c>
      <c r="G484" t="s">
        <v>917</v>
      </c>
      <c r="I484" t="s">
        <v>919</v>
      </c>
      <c r="J484" t="b">
        <f t="shared" si="49"/>
        <v>1</v>
      </c>
      <c r="K484" s="3">
        <f t="shared" ca="1" si="50"/>
        <v>344</v>
      </c>
      <c r="L484" s="3">
        <f t="shared" ca="1" si="51"/>
        <v>299</v>
      </c>
      <c r="M484" t="str">
        <f t="shared" ca="1" si="52"/>
        <v>Overdue</v>
      </c>
      <c r="N484">
        <f t="shared" si="54"/>
        <v>4623.54</v>
      </c>
      <c r="O484" t="str" cm="1">
        <f t="array" aca="1" ref="O484" ca="1">_xlfn.IFS(
L484&lt;=0,"Not Due",
L484&lt;=30,"0–30 Days",
L484&lt;=60,"31–60 Days",
L484&lt;=90,"61–90 Days",
L484&lt;=180,"91–180 Days",
L484&lt;=365,"181–365 Days",
L484&gt;365,"365+ Days (High Risk)"
)</f>
        <v>181–365 Days</v>
      </c>
      <c r="P484">
        <f t="shared" si="55"/>
        <v>0</v>
      </c>
      <c r="Q484" s="3">
        <f t="shared" ca="1" si="53"/>
        <v>4623.54</v>
      </c>
    </row>
    <row r="485" spans="1:17" x14ac:dyDescent="0.25">
      <c r="A485" t="s">
        <v>489</v>
      </c>
      <c r="B485" t="s">
        <v>910</v>
      </c>
      <c r="C485" s="1">
        <v>45115</v>
      </c>
      <c r="D485" s="1">
        <v>45160</v>
      </c>
      <c r="E485">
        <v>2675.9</v>
      </c>
      <c r="F485" t="s">
        <v>915</v>
      </c>
      <c r="G485" t="s">
        <v>918</v>
      </c>
      <c r="H485" s="1">
        <v>45160</v>
      </c>
      <c r="I485" t="s">
        <v>919</v>
      </c>
      <c r="J485" t="b">
        <f t="shared" si="49"/>
        <v>0</v>
      </c>
      <c r="K485" s="3">
        <f t="shared" ca="1" si="50"/>
        <v>45</v>
      </c>
      <c r="L485" s="3">
        <f t="shared" ca="1" si="51"/>
        <v>0</v>
      </c>
      <c r="M485" t="str">
        <f t="shared" ca="1" si="52"/>
        <v>On Time</v>
      </c>
      <c r="N485">
        <f t="shared" si="54"/>
        <v>0</v>
      </c>
      <c r="O485" t="str" cm="1">
        <f t="array" aca="1" ref="O485" ca="1">_xlfn.IFS(
L485&lt;=0,"Not Due",
L485&lt;=30,"0–30 Days",
L485&lt;=60,"31–60 Days",
L485&lt;=90,"61–90 Days",
L485&lt;=180,"91–180 Days",
L485&lt;=365,"181–365 Days",
L485&gt;365,"365+ Days (High Risk)"
)</f>
        <v>Not Due</v>
      </c>
      <c r="P485">
        <f t="shared" si="55"/>
        <v>2675.9</v>
      </c>
      <c r="Q485" s="3">
        <f t="shared" ca="1" si="53"/>
        <v>0</v>
      </c>
    </row>
    <row r="486" spans="1:17" x14ac:dyDescent="0.25">
      <c r="A486" t="s">
        <v>490</v>
      </c>
      <c r="B486" t="s">
        <v>910</v>
      </c>
      <c r="C486" s="1">
        <v>45319</v>
      </c>
      <c r="D486" s="1">
        <v>45364</v>
      </c>
      <c r="E486">
        <v>7985.15</v>
      </c>
      <c r="F486" t="s">
        <v>915</v>
      </c>
      <c r="G486" t="s">
        <v>918</v>
      </c>
      <c r="H486" s="1">
        <v>45364</v>
      </c>
      <c r="I486" t="s">
        <v>919</v>
      </c>
      <c r="J486" t="b">
        <f t="shared" si="49"/>
        <v>0</v>
      </c>
      <c r="K486" s="3">
        <f t="shared" ca="1" si="50"/>
        <v>45</v>
      </c>
      <c r="L486" s="3">
        <f t="shared" ca="1" si="51"/>
        <v>0</v>
      </c>
      <c r="M486" t="str">
        <f t="shared" ca="1" si="52"/>
        <v>On Time</v>
      </c>
      <c r="N486">
        <f t="shared" si="54"/>
        <v>0</v>
      </c>
      <c r="O486" t="str" cm="1">
        <f t="array" aca="1" ref="O486" ca="1">_xlfn.IFS(
L486&lt;=0,"Not Due",
L486&lt;=30,"0–30 Days",
L486&lt;=60,"31–60 Days",
L486&lt;=90,"61–90 Days",
L486&lt;=180,"91–180 Days",
L486&lt;=365,"181–365 Days",
L486&gt;365,"365+ Days (High Risk)"
)</f>
        <v>Not Due</v>
      </c>
      <c r="P486">
        <f t="shared" si="55"/>
        <v>7985.15</v>
      </c>
      <c r="Q486" s="3">
        <f t="shared" ca="1" si="53"/>
        <v>0</v>
      </c>
    </row>
    <row r="487" spans="1:17" x14ac:dyDescent="0.25">
      <c r="A487" t="s">
        <v>491</v>
      </c>
      <c r="B487" t="s">
        <v>910</v>
      </c>
      <c r="C487" s="1">
        <v>45508</v>
      </c>
      <c r="D487" s="1">
        <v>45553</v>
      </c>
      <c r="E487">
        <v>5313.37</v>
      </c>
      <c r="F487" t="s">
        <v>913</v>
      </c>
      <c r="G487" t="s">
        <v>917</v>
      </c>
      <c r="I487" t="s">
        <v>919</v>
      </c>
      <c r="J487" t="b">
        <f t="shared" si="49"/>
        <v>1</v>
      </c>
      <c r="K487" s="3">
        <f t="shared" ca="1" si="50"/>
        <v>543</v>
      </c>
      <c r="L487" s="3">
        <f t="shared" ca="1" si="51"/>
        <v>498</v>
      </c>
      <c r="M487" t="str">
        <f t="shared" ca="1" si="52"/>
        <v>Overdue</v>
      </c>
      <c r="N487">
        <f t="shared" si="54"/>
        <v>5313.37</v>
      </c>
      <c r="O487" t="str" cm="1">
        <f t="array" aca="1" ref="O487" ca="1">_xlfn.IFS(
L487&lt;=0,"Not Due",
L487&lt;=30,"0–30 Days",
L487&lt;=60,"31–60 Days",
L487&lt;=90,"61–90 Days",
L487&lt;=180,"91–180 Days",
L487&lt;=365,"181–365 Days",
L487&gt;365,"365+ Days (High Risk)"
)</f>
        <v>365+ Days (High Risk)</v>
      </c>
      <c r="P487">
        <f t="shared" si="55"/>
        <v>0</v>
      </c>
      <c r="Q487" s="3">
        <f t="shared" ca="1" si="53"/>
        <v>5313.37</v>
      </c>
    </row>
    <row r="488" spans="1:17" x14ac:dyDescent="0.25">
      <c r="A488" t="s">
        <v>492</v>
      </c>
      <c r="B488" t="s">
        <v>910</v>
      </c>
      <c r="C488" s="1">
        <v>45152</v>
      </c>
      <c r="D488" s="1">
        <v>45197</v>
      </c>
      <c r="E488">
        <v>3408.89</v>
      </c>
      <c r="F488" t="s">
        <v>913</v>
      </c>
      <c r="G488" t="s">
        <v>918</v>
      </c>
      <c r="H488" s="1">
        <v>45197</v>
      </c>
      <c r="I488" t="s">
        <v>919</v>
      </c>
      <c r="J488" t="b">
        <f t="shared" si="49"/>
        <v>0</v>
      </c>
      <c r="K488" s="3">
        <f t="shared" ca="1" si="50"/>
        <v>45</v>
      </c>
      <c r="L488" s="3">
        <f t="shared" ca="1" si="51"/>
        <v>0</v>
      </c>
      <c r="M488" t="str">
        <f t="shared" ca="1" si="52"/>
        <v>On Time</v>
      </c>
      <c r="N488">
        <f t="shared" si="54"/>
        <v>0</v>
      </c>
      <c r="O488" t="str" cm="1">
        <f t="array" aca="1" ref="O488" ca="1">_xlfn.IFS(
L488&lt;=0,"Not Due",
L488&lt;=30,"0–30 Days",
L488&lt;=60,"31–60 Days",
L488&lt;=90,"61–90 Days",
L488&lt;=180,"91–180 Days",
L488&lt;=365,"181–365 Days",
L488&gt;365,"365+ Days (High Risk)"
)</f>
        <v>Not Due</v>
      </c>
      <c r="P488">
        <f t="shared" si="55"/>
        <v>3408.89</v>
      </c>
      <c r="Q488" s="3">
        <f t="shared" ca="1" si="53"/>
        <v>0</v>
      </c>
    </row>
    <row r="489" spans="1:17" x14ac:dyDescent="0.25">
      <c r="A489" t="s">
        <v>493</v>
      </c>
      <c r="B489" t="s">
        <v>907</v>
      </c>
      <c r="C489" s="1">
        <v>45770</v>
      </c>
      <c r="D489" s="1">
        <v>45815</v>
      </c>
      <c r="E489">
        <v>5267.1</v>
      </c>
      <c r="F489" t="s">
        <v>914</v>
      </c>
      <c r="G489" t="s">
        <v>918</v>
      </c>
      <c r="H489" s="1">
        <v>45815</v>
      </c>
      <c r="I489" t="s">
        <v>919</v>
      </c>
      <c r="J489" t="b">
        <f t="shared" si="49"/>
        <v>0</v>
      </c>
      <c r="K489" s="3">
        <f t="shared" ca="1" si="50"/>
        <v>45</v>
      </c>
      <c r="L489" s="3">
        <f t="shared" ca="1" si="51"/>
        <v>0</v>
      </c>
      <c r="M489" t="str">
        <f t="shared" ca="1" si="52"/>
        <v>On Time</v>
      </c>
      <c r="N489">
        <f t="shared" si="54"/>
        <v>0</v>
      </c>
      <c r="O489" t="str" cm="1">
        <f t="array" aca="1" ref="O489" ca="1">_xlfn.IFS(
L489&lt;=0,"Not Due",
L489&lt;=30,"0–30 Days",
L489&lt;=60,"31–60 Days",
L489&lt;=90,"61–90 Days",
L489&lt;=180,"91–180 Days",
L489&lt;=365,"181–365 Days",
L489&gt;365,"365+ Days (High Risk)"
)</f>
        <v>Not Due</v>
      </c>
      <c r="P489">
        <f t="shared" si="55"/>
        <v>5267.1</v>
      </c>
      <c r="Q489" s="3">
        <f t="shared" ca="1" si="53"/>
        <v>0</v>
      </c>
    </row>
    <row r="490" spans="1:17" x14ac:dyDescent="0.25">
      <c r="A490" t="s">
        <v>494</v>
      </c>
      <c r="B490" t="s">
        <v>910</v>
      </c>
      <c r="C490" s="1">
        <v>45230</v>
      </c>
      <c r="D490" s="1">
        <v>45275</v>
      </c>
      <c r="E490">
        <v>4451.7</v>
      </c>
      <c r="F490" t="s">
        <v>911</v>
      </c>
      <c r="G490" t="s">
        <v>918</v>
      </c>
      <c r="H490" s="1">
        <v>45275</v>
      </c>
      <c r="I490" t="s">
        <v>919</v>
      </c>
      <c r="J490" t="b">
        <f t="shared" si="49"/>
        <v>0</v>
      </c>
      <c r="K490" s="3">
        <f t="shared" ca="1" si="50"/>
        <v>45</v>
      </c>
      <c r="L490" s="3">
        <f t="shared" ca="1" si="51"/>
        <v>0</v>
      </c>
      <c r="M490" t="str">
        <f t="shared" ca="1" si="52"/>
        <v>On Time</v>
      </c>
      <c r="N490">
        <f t="shared" si="54"/>
        <v>0</v>
      </c>
      <c r="O490" t="str" cm="1">
        <f t="array" aca="1" ref="O490" ca="1">_xlfn.IFS(
L490&lt;=0,"Not Due",
L490&lt;=30,"0–30 Days",
L490&lt;=60,"31–60 Days",
L490&lt;=90,"61–90 Days",
L490&lt;=180,"91–180 Days",
L490&lt;=365,"181–365 Days",
L490&gt;365,"365+ Days (High Risk)"
)</f>
        <v>Not Due</v>
      </c>
      <c r="P490">
        <f t="shared" si="55"/>
        <v>4451.7</v>
      </c>
      <c r="Q490" s="3">
        <f t="shared" ca="1" si="53"/>
        <v>0</v>
      </c>
    </row>
    <row r="491" spans="1:17" x14ac:dyDescent="0.25">
      <c r="A491" t="s">
        <v>495</v>
      </c>
      <c r="B491" t="s">
        <v>908</v>
      </c>
      <c r="C491" s="1">
        <v>45652</v>
      </c>
      <c r="D491" s="1">
        <v>45697</v>
      </c>
      <c r="E491">
        <v>6348.41</v>
      </c>
      <c r="F491" t="s">
        <v>911</v>
      </c>
      <c r="G491" t="s">
        <v>918</v>
      </c>
      <c r="H491" s="1">
        <v>45697</v>
      </c>
      <c r="I491" t="s">
        <v>919</v>
      </c>
      <c r="J491" t="b">
        <f t="shared" si="49"/>
        <v>0</v>
      </c>
      <c r="K491" s="3">
        <f t="shared" ca="1" si="50"/>
        <v>45</v>
      </c>
      <c r="L491" s="3">
        <f t="shared" ca="1" si="51"/>
        <v>0</v>
      </c>
      <c r="M491" t="str">
        <f t="shared" ca="1" si="52"/>
        <v>On Time</v>
      </c>
      <c r="N491">
        <f t="shared" si="54"/>
        <v>0</v>
      </c>
      <c r="O491" t="str" cm="1">
        <f t="array" aca="1" ref="O491" ca="1">_xlfn.IFS(
L491&lt;=0,"Not Due",
L491&lt;=30,"0–30 Days",
L491&lt;=60,"31–60 Days",
L491&lt;=90,"61–90 Days",
L491&lt;=180,"91–180 Days",
L491&lt;=365,"181–365 Days",
L491&gt;365,"365+ Days (High Risk)"
)</f>
        <v>Not Due</v>
      </c>
      <c r="P491">
        <f t="shared" si="55"/>
        <v>6348.41</v>
      </c>
      <c r="Q491" s="3">
        <f t="shared" ca="1" si="53"/>
        <v>0</v>
      </c>
    </row>
    <row r="492" spans="1:17" x14ac:dyDescent="0.25">
      <c r="A492" t="s">
        <v>496</v>
      </c>
      <c r="B492" t="s">
        <v>906</v>
      </c>
      <c r="C492" s="1">
        <v>45736</v>
      </c>
      <c r="D492" s="1">
        <v>45781</v>
      </c>
      <c r="E492">
        <v>7924.12</v>
      </c>
      <c r="F492" t="s">
        <v>915</v>
      </c>
      <c r="G492" t="s">
        <v>918</v>
      </c>
      <c r="H492" s="1">
        <v>45781</v>
      </c>
      <c r="I492" t="s">
        <v>919</v>
      </c>
      <c r="J492" t="b">
        <f t="shared" si="49"/>
        <v>0</v>
      </c>
      <c r="K492" s="3">
        <f t="shared" ca="1" si="50"/>
        <v>45</v>
      </c>
      <c r="L492" s="3">
        <f t="shared" ca="1" si="51"/>
        <v>0</v>
      </c>
      <c r="M492" t="str">
        <f t="shared" ca="1" si="52"/>
        <v>On Time</v>
      </c>
      <c r="N492">
        <f t="shared" si="54"/>
        <v>0</v>
      </c>
      <c r="O492" t="str" cm="1">
        <f t="array" aca="1" ref="O492" ca="1">_xlfn.IFS(
L492&lt;=0,"Not Due",
L492&lt;=30,"0–30 Days",
L492&lt;=60,"31–60 Days",
L492&lt;=90,"61–90 Days",
L492&lt;=180,"91–180 Days",
L492&lt;=365,"181–365 Days",
L492&gt;365,"365+ Days (High Risk)"
)</f>
        <v>Not Due</v>
      </c>
      <c r="P492">
        <f t="shared" si="55"/>
        <v>7924.12</v>
      </c>
      <c r="Q492" s="3">
        <f t="shared" ca="1" si="53"/>
        <v>0</v>
      </c>
    </row>
    <row r="493" spans="1:17" x14ac:dyDescent="0.25">
      <c r="A493" t="s">
        <v>497</v>
      </c>
      <c r="B493" t="s">
        <v>908</v>
      </c>
      <c r="C493" s="1">
        <v>45232</v>
      </c>
      <c r="D493" s="1">
        <v>45277</v>
      </c>
      <c r="E493">
        <v>6434.44</v>
      </c>
      <c r="F493" t="s">
        <v>915</v>
      </c>
      <c r="G493" t="s">
        <v>916</v>
      </c>
      <c r="I493" t="s">
        <v>919</v>
      </c>
      <c r="J493" t="b">
        <f t="shared" si="49"/>
        <v>1</v>
      </c>
      <c r="K493" s="3">
        <f t="shared" ca="1" si="50"/>
        <v>819</v>
      </c>
      <c r="L493" s="3">
        <f t="shared" ca="1" si="51"/>
        <v>774</v>
      </c>
      <c r="M493" t="str">
        <f t="shared" ca="1" si="52"/>
        <v>Overdue</v>
      </c>
      <c r="N493">
        <f t="shared" si="54"/>
        <v>6434.44</v>
      </c>
      <c r="O493" t="str" cm="1">
        <f t="array" aca="1" ref="O493" ca="1">_xlfn.IFS(
L493&lt;=0,"Not Due",
L493&lt;=30,"0–30 Days",
L493&lt;=60,"31–60 Days",
L493&lt;=90,"61–90 Days",
L493&lt;=180,"91–180 Days",
L493&lt;=365,"181–365 Days",
L493&gt;365,"365+ Days (High Risk)"
)</f>
        <v>365+ Days (High Risk)</v>
      </c>
      <c r="P493">
        <f t="shared" si="55"/>
        <v>0</v>
      </c>
      <c r="Q493" s="3">
        <f t="shared" ca="1" si="53"/>
        <v>6434.44</v>
      </c>
    </row>
    <row r="494" spans="1:17" x14ac:dyDescent="0.25">
      <c r="A494" t="s">
        <v>498</v>
      </c>
      <c r="B494" t="s">
        <v>908</v>
      </c>
      <c r="C494" s="1">
        <v>45457</v>
      </c>
      <c r="D494" s="1">
        <v>45502</v>
      </c>
      <c r="E494">
        <v>2742.6</v>
      </c>
      <c r="F494" t="s">
        <v>912</v>
      </c>
      <c r="G494" t="s">
        <v>916</v>
      </c>
      <c r="I494" t="s">
        <v>919</v>
      </c>
      <c r="J494" t="b">
        <f t="shared" si="49"/>
        <v>1</v>
      </c>
      <c r="K494" s="3">
        <f t="shared" ca="1" si="50"/>
        <v>594</v>
      </c>
      <c r="L494" s="3">
        <f t="shared" ca="1" si="51"/>
        <v>549</v>
      </c>
      <c r="M494" t="str">
        <f t="shared" ca="1" si="52"/>
        <v>Overdue</v>
      </c>
      <c r="N494">
        <f t="shared" si="54"/>
        <v>2742.6</v>
      </c>
      <c r="O494" t="str" cm="1">
        <f t="array" aca="1" ref="O494" ca="1">_xlfn.IFS(
L494&lt;=0,"Not Due",
L494&lt;=30,"0–30 Days",
L494&lt;=60,"31–60 Days",
L494&lt;=90,"61–90 Days",
L494&lt;=180,"91–180 Days",
L494&lt;=365,"181–365 Days",
L494&gt;365,"365+ Days (High Risk)"
)</f>
        <v>365+ Days (High Risk)</v>
      </c>
      <c r="P494">
        <f t="shared" si="55"/>
        <v>0</v>
      </c>
      <c r="Q494" s="3">
        <f t="shared" ca="1" si="53"/>
        <v>2742.6</v>
      </c>
    </row>
    <row r="495" spans="1:17" x14ac:dyDescent="0.25">
      <c r="A495" t="s">
        <v>499</v>
      </c>
      <c r="B495" t="s">
        <v>910</v>
      </c>
      <c r="C495" s="1">
        <v>45600</v>
      </c>
      <c r="D495" s="1">
        <v>45645</v>
      </c>
      <c r="E495">
        <v>2495.48</v>
      </c>
      <c r="F495" t="s">
        <v>915</v>
      </c>
      <c r="G495" t="s">
        <v>917</v>
      </c>
      <c r="I495" t="s">
        <v>919</v>
      </c>
      <c r="J495" t="b">
        <f t="shared" si="49"/>
        <v>1</v>
      </c>
      <c r="K495" s="3">
        <f t="shared" ca="1" si="50"/>
        <v>451</v>
      </c>
      <c r="L495" s="3">
        <f t="shared" ca="1" si="51"/>
        <v>406</v>
      </c>
      <c r="M495" t="str">
        <f t="shared" ca="1" si="52"/>
        <v>Overdue</v>
      </c>
      <c r="N495">
        <f t="shared" si="54"/>
        <v>2495.48</v>
      </c>
      <c r="O495" t="str" cm="1">
        <f t="array" aca="1" ref="O495" ca="1">_xlfn.IFS(
L495&lt;=0,"Not Due",
L495&lt;=30,"0–30 Days",
L495&lt;=60,"31–60 Days",
L495&lt;=90,"61–90 Days",
L495&lt;=180,"91–180 Days",
L495&lt;=365,"181–365 Days",
L495&gt;365,"365+ Days (High Risk)"
)</f>
        <v>365+ Days (High Risk)</v>
      </c>
      <c r="P495">
        <f t="shared" si="55"/>
        <v>0</v>
      </c>
      <c r="Q495" s="3">
        <f t="shared" ca="1" si="53"/>
        <v>2495.48</v>
      </c>
    </row>
    <row r="496" spans="1:17" x14ac:dyDescent="0.25">
      <c r="A496" t="s">
        <v>500</v>
      </c>
      <c r="B496" t="s">
        <v>910</v>
      </c>
      <c r="C496" s="1">
        <v>45060</v>
      </c>
      <c r="D496" s="1">
        <v>45105</v>
      </c>
      <c r="E496">
        <v>4577.08</v>
      </c>
      <c r="F496" t="s">
        <v>912</v>
      </c>
      <c r="G496" t="s">
        <v>918</v>
      </c>
      <c r="H496" s="1">
        <v>45105</v>
      </c>
      <c r="I496" t="s">
        <v>919</v>
      </c>
      <c r="J496" t="b">
        <f t="shared" si="49"/>
        <v>0</v>
      </c>
      <c r="K496" s="3">
        <f t="shared" ca="1" si="50"/>
        <v>45</v>
      </c>
      <c r="L496" s="3">
        <f t="shared" ca="1" si="51"/>
        <v>0</v>
      </c>
      <c r="M496" t="str">
        <f t="shared" ca="1" si="52"/>
        <v>On Time</v>
      </c>
      <c r="N496">
        <f t="shared" si="54"/>
        <v>0</v>
      </c>
      <c r="O496" t="str" cm="1">
        <f t="array" aca="1" ref="O496" ca="1">_xlfn.IFS(
L496&lt;=0,"Not Due",
L496&lt;=30,"0–30 Days",
L496&lt;=60,"31–60 Days",
L496&lt;=90,"61–90 Days",
L496&lt;=180,"91–180 Days",
L496&lt;=365,"181–365 Days",
L496&gt;365,"365+ Days (High Risk)"
)</f>
        <v>Not Due</v>
      </c>
      <c r="P496">
        <f t="shared" si="55"/>
        <v>4577.08</v>
      </c>
      <c r="Q496" s="3">
        <f t="shared" ca="1" si="53"/>
        <v>0</v>
      </c>
    </row>
    <row r="497" spans="1:17" x14ac:dyDescent="0.25">
      <c r="A497" t="s">
        <v>501</v>
      </c>
      <c r="B497" t="s">
        <v>907</v>
      </c>
      <c r="C497" s="1">
        <v>45029</v>
      </c>
      <c r="D497" s="1">
        <v>45074</v>
      </c>
      <c r="E497">
        <v>2137.89</v>
      </c>
      <c r="F497" t="s">
        <v>915</v>
      </c>
      <c r="G497" t="s">
        <v>917</v>
      </c>
      <c r="I497" t="s">
        <v>919</v>
      </c>
      <c r="J497" t="b">
        <f t="shared" si="49"/>
        <v>1</v>
      </c>
      <c r="K497" s="3">
        <f t="shared" ca="1" si="50"/>
        <v>1022</v>
      </c>
      <c r="L497" s="3">
        <f t="shared" ca="1" si="51"/>
        <v>977</v>
      </c>
      <c r="M497" t="str">
        <f t="shared" ca="1" si="52"/>
        <v>Overdue</v>
      </c>
      <c r="N497">
        <f t="shared" si="54"/>
        <v>2137.89</v>
      </c>
      <c r="O497" t="str" cm="1">
        <f t="array" aca="1" ref="O497" ca="1">_xlfn.IFS(
L497&lt;=0,"Not Due",
L497&lt;=30,"0–30 Days",
L497&lt;=60,"31–60 Days",
L497&lt;=90,"61–90 Days",
L497&lt;=180,"91–180 Days",
L497&lt;=365,"181–365 Days",
L497&gt;365,"365+ Days (High Risk)"
)</f>
        <v>365+ Days (High Risk)</v>
      </c>
      <c r="P497">
        <f t="shared" si="55"/>
        <v>0</v>
      </c>
      <c r="Q497" s="3">
        <f t="shared" ca="1" si="53"/>
        <v>2137.89</v>
      </c>
    </row>
    <row r="498" spans="1:17" x14ac:dyDescent="0.25">
      <c r="A498" t="s">
        <v>502</v>
      </c>
      <c r="B498" t="s">
        <v>909</v>
      </c>
      <c r="C498" s="1">
        <v>45298</v>
      </c>
      <c r="D498" s="1">
        <v>45343</v>
      </c>
      <c r="E498">
        <v>6435.43</v>
      </c>
      <c r="F498" t="s">
        <v>914</v>
      </c>
      <c r="G498" t="s">
        <v>916</v>
      </c>
      <c r="I498" t="s">
        <v>919</v>
      </c>
      <c r="J498" t="b">
        <f t="shared" si="49"/>
        <v>1</v>
      </c>
      <c r="K498" s="3">
        <f t="shared" ca="1" si="50"/>
        <v>753</v>
      </c>
      <c r="L498" s="3">
        <f t="shared" ca="1" si="51"/>
        <v>708</v>
      </c>
      <c r="M498" t="str">
        <f t="shared" ca="1" si="52"/>
        <v>Overdue</v>
      </c>
      <c r="N498">
        <f t="shared" si="54"/>
        <v>6435.43</v>
      </c>
      <c r="O498" t="str" cm="1">
        <f t="array" aca="1" ref="O498" ca="1">_xlfn.IFS(
L498&lt;=0,"Not Due",
L498&lt;=30,"0–30 Days",
L498&lt;=60,"31–60 Days",
L498&lt;=90,"61–90 Days",
L498&lt;=180,"91–180 Days",
L498&lt;=365,"181–365 Days",
L498&gt;365,"365+ Days (High Risk)"
)</f>
        <v>365+ Days (High Risk)</v>
      </c>
      <c r="P498">
        <f t="shared" si="55"/>
        <v>0</v>
      </c>
      <c r="Q498" s="3">
        <f t="shared" ca="1" si="53"/>
        <v>6435.43</v>
      </c>
    </row>
    <row r="499" spans="1:17" x14ac:dyDescent="0.25">
      <c r="A499" t="s">
        <v>503</v>
      </c>
      <c r="B499" t="s">
        <v>907</v>
      </c>
      <c r="C499" s="1">
        <v>45194</v>
      </c>
      <c r="D499" s="1">
        <v>45239</v>
      </c>
      <c r="E499">
        <v>1273.69</v>
      </c>
      <c r="F499" t="s">
        <v>914</v>
      </c>
      <c r="G499" t="s">
        <v>917</v>
      </c>
      <c r="I499" t="s">
        <v>919</v>
      </c>
      <c r="J499" t="b">
        <f t="shared" si="49"/>
        <v>1</v>
      </c>
      <c r="K499" s="3">
        <f t="shared" ca="1" si="50"/>
        <v>857</v>
      </c>
      <c r="L499" s="3">
        <f t="shared" ca="1" si="51"/>
        <v>812</v>
      </c>
      <c r="M499" t="str">
        <f t="shared" ca="1" si="52"/>
        <v>Overdue</v>
      </c>
      <c r="N499">
        <f t="shared" si="54"/>
        <v>1273.69</v>
      </c>
      <c r="O499" t="str" cm="1">
        <f t="array" aca="1" ref="O499" ca="1">_xlfn.IFS(
L499&lt;=0,"Not Due",
L499&lt;=30,"0–30 Days",
L499&lt;=60,"31–60 Days",
L499&lt;=90,"61–90 Days",
L499&lt;=180,"91–180 Days",
L499&lt;=365,"181–365 Days",
L499&gt;365,"365+ Days (High Risk)"
)</f>
        <v>365+ Days (High Risk)</v>
      </c>
      <c r="P499">
        <f t="shared" si="55"/>
        <v>0</v>
      </c>
      <c r="Q499" s="3">
        <f t="shared" ca="1" si="53"/>
        <v>1273.69</v>
      </c>
    </row>
    <row r="500" spans="1:17" x14ac:dyDescent="0.25">
      <c r="A500" t="s">
        <v>504</v>
      </c>
      <c r="B500" t="s">
        <v>910</v>
      </c>
      <c r="C500" s="1">
        <v>45208</v>
      </c>
      <c r="D500" s="1">
        <v>45253</v>
      </c>
      <c r="E500">
        <v>343.33</v>
      </c>
      <c r="F500" t="s">
        <v>915</v>
      </c>
      <c r="G500" t="s">
        <v>918</v>
      </c>
      <c r="H500" s="1">
        <v>45253</v>
      </c>
      <c r="I500" t="s">
        <v>919</v>
      </c>
      <c r="J500" t="b">
        <f t="shared" si="49"/>
        <v>0</v>
      </c>
      <c r="K500" s="3">
        <f t="shared" ca="1" si="50"/>
        <v>45</v>
      </c>
      <c r="L500" s="3">
        <f t="shared" ca="1" si="51"/>
        <v>0</v>
      </c>
      <c r="M500" t="str">
        <f t="shared" ca="1" si="52"/>
        <v>On Time</v>
      </c>
      <c r="N500">
        <f t="shared" si="54"/>
        <v>0</v>
      </c>
      <c r="O500" t="str" cm="1">
        <f t="array" aca="1" ref="O500" ca="1">_xlfn.IFS(
L500&lt;=0,"Not Due",
L500&lt;=30,"0–30 Days",
L500&lt;=60,"31–60 Days",
L500&lt;=90,"61–90 Days",
L500&lt;=180,"91–180 Days",
L500&lt;=365,"181–365 Days",
L500&gt;365,"365+ Days (High Risk)"
)</f>
        <v>Not Due</v>
      </c>
      <c r="P500">
        <f t="shared" si="55"/>
        <v>343.33</v>
      </c>
      <c r="Q500" s="3">
        <f t="shared" ca="1" si="53"/>
        <v>0</v>
      </c>
    </row>
    <row r="501" spans="1:17" x14ac:dyDescent="0.25">
      <c r="A501" t="s">
        <v>505</v>
      </c>
      <c r="B501" t="s">
        <v>908</v>
      </c>
      <c r="C501" s="1">
        <v>45405</v>
      </c>
      <c r="D501" s="1">
        <v>45450</v>
      </c>
      <c r="E501">
        <v>5946.46</v>
      </c>
      <c r="F501" t="s">
        <v>915</v>
      </c>
      <c r="G501" t="s">
        <v>918</v>
      </c>
      <c r="H501" s="1">
        <v>45450</v>
      </c>
      <c r="I501" t="s">
        <v>919</v>
      </c>
      <c r="J501" t="b">
        <f t="shared" si="49"/>
        <v>0</v>
      </c>
      <c r="K501" s="3">
        <f t="shared" ca="1" si="50"/>
        <v>45</v>
      </c>
      <c r="L501" s="3">
        <f t="shared" ca="1" si="51"/>
        <v>0</v>
      </c>
      <c r="M501" t="str">
        <f t="shared" ca="1" si="52"/>
        <v>On Time</v>
      </c>
      <c r="N501">
        <f t="shared" si="54"/>
        <v>0</v>
      </c>
      <c r="O501" t="str" cm="1">
        <f t="array" aca="1" ref="O501" ca="1">_xlfn.IFS(
L501&lt;=0,"Not Due",
L501&lt;=30,"0–30 Days",
L501&lt;=60,"31–60 Days",
L501&lt;=90,"61–90 Days",
L501&lt;=180,"91–180 Days",
L501&lt;=365,"181–365 Days",
L501&gt;365,"365+ Days (High Risk)"
)</f>
        <v>Not Due</v>
      </c>
      <c r="P501">
        <f t="shared" si="55"/>
        <v>5946.46</v>
      </c>
      <c r="Q501" s="3">
        <f t="shared" ca="1" si="53"/>
        <v>0</v>
      </c>
    </row>
    <row r="502" spans="1:17" x14ac:dyDescent="0.25">
      <c r="A502" t="s">
        <v>506</v>
      </c>
      <c r="B502" t="s">
        <v>906</v>
      </c>
      <c r="C502" s="1">
        <v>45783</v>
      </c>
      <c r="D502" s="1">
        <v>45828</v>
      </c>
      <c r="E502">
        <v>5055.62</v>
      </c>
      <c r="F502" t="s">
        <v>914</v>
      </c>
      <c r="G502" t="s">
        <v>916</v>
      </c>
      <c r="I502" t="s">
        <v>919</v>
      </c>
      <c r="J502" t="b">
        <f t="shared" si="49"/>
        <v>1</v>
      </c>
      <c r="K502" s="3">
        <f t="shared" ca="1" si="50"/>
        <v>268</v>
      </c>
      <c r="L502" s="3">
        <f t="shared" ca="1" si="51"/>
        <v>223</v>
      </c>
      <c r="M502" t="str">
        <f t="shared" ca="1" si="52"/>
        <v>Overdue</v>
      </c>
      <c r="N502">
        <f t="shared" si="54"/>
        <v>5055.62</v>
      </c>
      <c r="O502" t="str" cm="1">
        <f t="array" aca="1" ref="O502" ca="1">_xlfn.IFS(
L502&lt;=0,"Not Due",
L502&lt;=30,"0–30 Days",
L502&lt;=60,"31–60 Days",
L502&lt;=90,"61–90 Days",
L502&lt;=180,"91–180 Days",
L502&lt;=365,"181–365 Days",
L502&gt;365,"365+ Days (High Risk)"
)</f>
        <v>181–365 Days</v>
      </c>
      <c r="P502">
        <f t="shared" si="55"/>
        <v>0</v>
      </c>
      <c r="Q502" s="3">
        <f t="shared" ca="1" si="53"/>
        <v>5055.62</v>
      </c>
    </row>
    <row r="503" spans="1:17" x14ac:dyDescent="0.25">
      <c r="A503" t="s">
        <v>507</v>
      </c>
      <c r="B503" t="s">
        <v>910</v>
      </c>
      <c r="C503" s="1">
        <v>45126</v>
      </c>
      <c r="D503" s="1">
        <v>45171</v>
      </c>
      <c r="E503">
        <v>1629.61</v>
      </c>
      <c r="F503" t="s">
        <v>912</v>
      </c>
      <c r="G503" t="s">
        <v>917</v>
      </c>
      <c r="I503" t="s">
        <v>919</v>
      </c>
      <c r="J503" t="b">
        <f t="shared" si="49"/>
        <v>1</v>
      </c>
      <c r="K503" s="3">
        <f t="shared" ca="1" si="50"/>
        <v>925</v>
      </c>
      <c r="L503" s="3">
        <f t="shared" ca="1" si="51"/>
        <v>880</v>
      </c>
      <c r="M503" t="str">
        <f t="shared" ca="1" si="52"/>
        <v>Overdue</v>
      </c>
      <c r="N503">
        <f t="shared" si="54"/>
        <v>1629.61</v>
      </c>
      <c r="O503" t="str" cm="1">
        <f t="array" aca="1" ref="O503" ca="1">_xlfn.IFS(
L503&lt;=0,"Not Due",
L503&lt;=30,"0–30 Days",
L503&lt;=60,"31–60 Days",
L503&lt;=90,"61–90 Days",
L503&lt;=180,"91–180 Days",
L503&lt;=365,"181–365 Days",
L503&gt;365,"365+ Days (High Risk)"
)</f>
        <v>365+ Days (High Risk)</v>
      </c>
      <c r="P503">
        <f t="shared" si="55"/>
        <v>0</v>
      </c>
      <c r="Q503" s="3">
        <f t="shared" ca="1" si="53"/>
        <v>1629.61</v>
      </c>
    </row>
    <row r="504" spans="1:17" x14ac:dyDescent="0.25">
      <c r="A504" t="s">
        <v>508</v>
      </c>
      <c r="B504" t="s">
        <v>909</v>
      </c>
      <c r="C504" s="1">
        <v>45354</v>
      </c>
      <c r="D504" s="1">
        <v>45399</v>
      </c>
      <c r="E504">
        <v>6605.12</v>
      </c>
      <c r="F504" t="s">
        <v>914</v>
      </c>
      <c r="G504" t="s">
        <v>916</v>
      </c>
      <c r="I504" t="s">
        <v>919</v>
      </c>
      <c r="J504" t="b">
        <f t="shared" si="49"/>
        <v>1</v>
      </c>
      <c r="K504" s="3">
        <f t="shared" ca="1" si="50"/>
        <v>697</v>
      </c>
      <c r="L504" s="3">
        <f t="shared" ca="1" si="51"/>
        <v>652</v>
      </c>
      <c r="M504" t="str">
        <f t="shared" ca="1" si="52"/>
        <v>Overdue</v>
      </c>
      <c r="N504">
        <f t="shared" si="54"/>
        <v>6605.12</v>
      </c>
      <c r="O504" t="str" cm="1">
        <f t="array" aca="1" ref="O504" ca="1">_xlfn.IFS(
L504&lt;=0,"Not Due",
L504&lt;=30,"0–30 Days",
L504&lt;=60,"31–60 Days",
L504&lt;=90,"61–90 Days",
L504&lt;=180,"91–180 Days",
L504&lt;=365,"181–365 Days",
L504&gt;365,"365+ Days (High Risk)"
)</f>
        <v>365+ Days (High Risk)</v>
      </c>
      <c r="P504">
        <f t="shared" si="55"/>
        <v>0</v>
      </c>
      <c r="Q504" s="3">
        <f t="shared" ca="1" si="53"/>
        <v>6605.12</v>
      </c>
    </row>
    <row r="505" spans="1:17" x14ac:dyDescent="0.25">
      <c r="A505" t="s">
        <v>509</v>
      </c>
      <c r="B505" t="s">
        <v>906</v>
      </c>
      <c r="C505" s="1">
        <v>45174</v>
      </c>
      <c r="D505" s="1">
        <v>45219</v>
      </c>
      <c r="E505">
        <v>2497.34</v>
      </c>
      <c r="F505" t="s">
        <v>915</v>
      </c>
      <c r="G505" t="s">
        <v>917</v>
      </c>
      <c r="I505" t="s">
        <v>919</v>
      </c>
      <c r="J505" t="b">
        <f t="shared" si="49"/>
        <v>1</v>
      </c>
      <c r="K505" s="3">
        <f t="shared" ca="1" si="50"/>
        <v>877</v>
      </c>
      <c r="L505" s="3">
        <f t="shared" ca="1" si="51"/>
        <v>832</v>
      </c>
      <c r="M505" t="str">
        <f t="shared" ca="1" si="52"/>
        <v>Overdue</v>
      </c>
      <c r="N505">
        <f t="shared" si="54"/>
        <v>2497.34</v>
      </c>
      <c r="O505" t="str" cm="1">
        <f t="array" aca="1" ref="O505" ca="1">_xlfn.IFS(
L505&lt;=0,"Not Due",
L505&lt;=30,"0–30 Days",
L505&lt;=60,"31–60 Days",
L505&lt;=90,"61–90 Days",
L505&lt;=180,"91–180 Days",
L505&lt;=365,"181–365 Days",
L505&gt;365,"365+ Days (High Risk)"
)</f>
        <v>365+ Days (High Risk)</v>
      </c>
      <c r="P505">
        <f t="shared" si="55"/>
        <v>0</v>
      </c>
      <c r="Q505" s="3">
        <f t="shared" ca="1" si="53"/>
        <v>2497.34</v>
      </c>
    </row>
    <row r="506" spans="1:17" x14ac:dyDescent="0.25">
      <c r="A506" t="s">
        <v>510</v>
      </c>
      <c r="B506" t="s">
        <v>908</v>
      </c>
      <c r="C506" s="1">
        <v>45122</v>
      </c>
      <c r="D506" s="1">
        <v>45167</v>
      </c>
      <c r="E506">
        <v>6514.17</v>
      </c>
      <c r="F506" t="s">
        <v>911</v>
      </c>
      <c r="G506" t="s">
        <v>918</v>
      </c>
      <c r="H506" s="1">
        <v>45167</v>
      </c>
      <c r="I506" t="s">
        <v>919</v>
      </c>
      <c r="J506" t="b">
        <f t="shared" si="49"/>
        <v>0</v>
      </c>
      <c r="K506" s="3">
        <f t="shared" ca="1" si="50"/>
        <v>45</v>
      </c>
      <c r="L506" s="3">
        <f t="shared" ca="1" si="51"/>
        <v>0</v>
      </c>
      <c r="M506" t="str">
        <f t="shared" ca="1" si="52"/>
        <v>On Time</v>
      </c>
      <c r="N506">
        <f t="shared" si="54"/>
        <v>0</v>
      </c>
      <c r="O506" t="str" cm="1">
        <f t="array" aca="1" ref="O506" ca="1">_xlfn.IFS(
L506&lt;=0,"Not Due",
L506&lt;=30,"0–30 Days",
L506&lt;=60,"31–60 Days",
L506&lt;=90,"61–90 Days",
L506&lt;=180,"91–180 Days",
L506&lt;=365,"181–365 Days",
L506&gt;365,"365+ Days (High Risk)"
)</f>
        <v>Not Due</v>
      </c>
      <c r="P506">
        <f t="shared" si="55"/>
        <v>6514.17</v>
      </c>
      <c r="Q506" s="3">
        <f t="shared" ca="1" si="53"/>
        <v>0</v>
      </c>
    </row>
    <row r="507" spans="1:17" x14ac:dyDescent="0.25">
      <c r="A507" t="s">
        <v>511</v>
      </c>
      <c r="B507" t="s">
        <v>910</v>
      </c>
      <c r="C507" s="1">
        <v>45564</v>
      </c>
      <c r="D507" s="1">
        <v>45609</v>
      </c>
      <c r="E507">
        <v>3027.77</v>
      </c>
      <c r="F507" t="s">
        <v>911</v>
      </c>
      <c r="G507" t="s">
        <v>917</v>
      </c>
      <c r="I507" t="s">
        <v>919</v>
      </c>
      <c r="J507" t="b">
        <f t="shared" si="49"/>
        <v>1</v>
      </c>
      <c r="K507" s="3">
        <f t="shared" ca="1" si="50"/>
        <v>487</v>
      </c>
      <c r="L507" s="3">
        <f t="shared" ca="1" si="51"/>
        <v>442</v>
      </c>
      <c r="M507" t="str">
        <f t="shared" ca="1" si="52"/>
        <v>Overdue</v>
      </c>
      <c r="N507">
        <f t="shared" si="54"/>
        <v>3027.77</v>
      </c>
      <c r="O507" t="str" cm="1">
        <f t="array" aca="1" ref="O507" ca="1">_xlfn.IFS(
L507&lt;=0,"Not Due",
L507&lt;=30,"0–30 Days",
L507&lt;=60,"31–60 Days",
L507&lt;=90,"61–90 Days",
L507&lt;=180,"91–180 Days",
L507&lt;=365,"181–365 Days",
L507&gt;365,"365+ Days (High Risk)"
)</f>
        <v>365+ Days (High Risk)</v>
      </c>
      <c r="P507">
        <f t="shared" si="55"/>
        <v>0</v>
      </c>
      <c r="Q507" s="3">
        <f t="shared" ca="1" si="53"/>
        <v>3027.77</v>
      </c>
    </row>
    <row r="508" spans="1:17" x14ac:dyDescent="0.25">
      <c r="A508" t="s">
        <v>512</v>
      </c>
      <c r="B508" t="s">
        <v>907</v>
      </c>
      <c r="C508" s="1">
        <v>45341</v>
      </c>
      <c r="D508" s="1">
        <v>45386</v>
      </c>
      <c r="E508">
        <v>3375.12</v>
      </c>
      <c r="F508" t="s">
        <v>913</v>
      </c>
      <c r="G508" t="s">
        <v>918</v>
      </c>
      <c r="H508" s="1">
        <v>45386</v>
      </c>
      <c r="I508" t="s">
        <v>919</v>
      </c>
      <c r="J508" t="b">
        <f t="shared" si="49"/>
        <v>0</v>
      </c>
      <c r="K508" s="3">
        <f t="shared" ca="1" si="50"/>
        <v>45</v>
      </c>
      <c r="L508" s="3">
        <f t="shared" ca="1" si="51"/>
        <v>0</v>
      </c>
      <c r="M508" t="str">
        <f t="shared" ca="1" si="52"/>
        <v>On Time</v>
      </c>
      <c r="N508">
        <f t="shared" si="54"/>
        <v>0</v>
      </c>
      <c r="O508" t="str" cm="1">
        <f t="array" aca="1" ref="O508" ca="1">_xlfn.IFS(
L508&lt;=0,"Not Due",
L508&lt;=30,"0–30 Days",
L508&lt;=60,"31–60 Days",
L508&lt;=90,"61–90 Days",
L508&lt;=180,"91–180 Days",
L508&lt;=365,"181–365 Days",
L508&gt;365,"365+ Days (High Risk)"
)</f>
        <v>Not Due</v>
      </c>
      <c r="P508">
        <f t="shared" si="55"/>
        <v>3375.12</v>
      </c>
      <c r="Q508" s="3">
        <f t="shared" ca="1" si="53"/>
        <v>0</v>
      </c>
    </row>
    <row r="509" spans="1:17" x14ac:dyDescent="0.25">
      <c r="A509" t="s">
        <v>513</v>
      </c>
      <c r="B509" t="s">
        <v>907</v>
      </c>
      <c r="C509" s="1">
        <v>44937</v>
      </c>
      <c r="D509" s="1">
        <v>44982</v>
      </c>
      <c r="E509">
        <v>7102.62</v>
      </c>
      <c r="F509" t="s">
        <v>913</v>
      </c>
      <c r="G509" t="s">
        <v>917</v>
      </c>
      <c r="I509" t="s">
        <v>919</v>
      </c>
      <c r="J509" t="b">
        <f t="shared" si="49"/>
        <v>1</v>
      </c>
      <c r="K509" s="3">
        <f t="shared" ca="1" si="50"/>
        <v>1114</v>
      </c>
      <c r="L509" s="3">
        <f t="shared" ca="1" si="51"/>
        <v>1069</v>
      </c>
      <c r="M509" t="str">
        <f t="shared" ca="1" si="52"/>
        <v>Overdue</v>
      </c>
      <c r="N509">
        <f t="shared" si="54"/>
        <v>7102.62</v>
      </c>
      <c r="O509" t="str" cm="1">
        <f t="array" aca="1" ref="O509" ca="1">_xlfn.IFS(
L509&lt;=0,"Not Due",
L509&lt;=30,"0–30 Days",
L509&lt;=60,"31–60 Days",
L509&lt;=90,"61–90 Days",
L509&lt;=180,"91–180 Days",
L509&lt;=365,"181–365 Days",
L509&gt;365,"365+ Days (High Risk)"
)</f>
        <v>365+ Days (High Risk)</v>
      </c>
      <c r="P509">
        <f t="shared" si="55"/>
        <v>0</v>
      </c>
      <c r="Q509" s="3">
        <f t="shared" ca="1" si="53"/>
        <v>7102.62</v>
      </c>
    </row>
    <row r="510" spans="1:17" x14ac:dyDescent="0.25">
      <c r="A510" t="s">
        <v>514</v>
      </c>
      <c r="B510" t="s">
        <v>908</v>
      </c>
      <c r="C510" s="1">
        <v>45490</v>
      </c>
      <c r="D510" s="1">
        <v>45535</v>
      </c>
      <c r="E510">
        <v>5929.86</v>
      </c>
      <c r="F510" t="s">
        <v>911</v>
      </c>
      <c r="G510" t="s">
        <v>917</v>
      </c>
      <c r="I510" t="s">
        <v>919</v>
      </c>
      <c r="J510" t="b">
        <f t="shared" si="49"/>
        <v>1</v>
      </c>
      <c r="K510" s="3">
        <f t="shared" ca="1" si="50"/>
        <v>561</v>
      </c>
      <c r="L510" s="3">
        <f t="shared" ca="1" si="51"/>
        <v>516</v>
      </c>
      <c r="M510" t="str">
        <f t="shared" ca="1" si="52"/>
        <v>Overdue</v>
      </c>
      <c r="N510">
        <f t="shared" si="54"/>
        <v>5929.86</v>
      </c>
      <c r="O510" t="str" cm="1">
        <f t="array" aca="1" ref="O510" ca="1">_xlfn.IFS(
L510&lt;=0,"Not Due",
L510&lt;=30,"0–30 Days",
L510&lt;=60,"31–60 Days",
L510&lt;=90,"61–90 Days",
L510&lt;=180,"91–180 Days",
L510&lt;=365,"181–365 Days",
L510&gt;365,"365+ Days (High Risk)"
)</f>
        <v>365+ Days (High Risk)</v>
      </c>
      <c r="P510">
        <f t="shared" si="55"/>
        <v>0</v>
      </c>
      <c r="Q510" s="3">
        <f t="shared" ca="1" si="53"/>
        <v>5929.86</v>
      </c>
    </row>
    <row r="511" spans="1:17" x14ac:dyDescent="0.25">
      <c r="A511" t="s">
        <v>515</v>
      </c>
      <c r="B511" t="s">
        <v>906</v>
      </c>
      <c r="C511" s="1">
        <v>44953</v>
      </c>
      <c r="D511" s="1">
        <v>44998</v>
      </c>
      <c r="E511">
        <v>6424.1</v>
      </c>
      <c r="F511" t="s">
        <v>913</v>
      </c>
      <c r="G511" t="s">
        <v>916</v>
      </c>
      <c r="I511" t="s">
        <v>919</v>
      </c>
      <c r="J511" t="b">
        <f t="shared" si="49"/>
        <v>1</v>
      </c>
      <c r="K511" s="3">
        <f t="shared" ca="1" si="50"/>
        <v>1098</v>
      </c>
      <c r="L511" s="3">
        <f t="shared" ca="1" si="51"/>
        <v>1053</v>
      </c>
      <c r="M511" t="str">
        <f t="shared" ca="1" si="52"/>
        <v>Overdue</v>
      </c>
      <c r="N511">
        <f t="shared" si="54"/>
        <v>6424.1</v>
      </c>
      <c r="O511" t="str" cm="1">
        <f t="array" aca="1" ref="O511" ca="1">_xlfn.IFS(
L511&lt;=0,"Not Due",
L511&lt;=30,"0–30 Days",
L511&lt;=60,"31–60 Days",
L511&lt;=90,"61–90 Days",
L511&lt;=180,"91–180 Days",
L511&lt;=365,"181–365 Days",
L511&gt;365,"365+ Days (High Risk)"
)</f>
        <v>365+ Days (High Risk)</v>
      </c>
      <c r="P511">
        <f t="shared" si="55"/>
        <v>0</v>
      </c>
      <c r="Q511" s="3">
        <f t="shared" ca="1" si="53"/>
        <v>6424.1</v>
      </c>
    </row>
    <row r="512" spans="1:17" x14ac:dyDescent="0.25">
      <c r="A512" t="s">
        <v>516</v>
      </c>
      <c r="B512" t="s">
        <v>908</v>
      </c>
      <c r="C512" s="1">
        <v>45535</v>
      </c>
      <c r="D512" s="1">
        <v>45580</v>
      </c>
      <c r="E512">
        <v>4923.67</v>
      </c>
      <c r="F512" t="s">
        <v>915</v>
      </c>
      <c r="G512" t="s">
        <v>917</v>
      </c>
      <c r="I512" t="s">
        <v>919</v>
      </c>
      <c r="J512" t="b">
        <f t="shared" si="49"/>
        <v>1</v>
      </c>
      <c r="K512" s="3">
        <f t="shared" ca="1" si="50"/>
        <v>516</v>
      </c>
      <c r="L512" s="3">
        <f t="shared" ca="1" si="51"/>
        <v>471</v>
      </c>
      <c r="M512" t="str">
        <f t="shared" ca="1" si="52"/>
        <v>Overdue</v>
      </c>
      <c r="N512">
        <f t="shared" si="54"/>
        <v>4923.67</v>
      </c>
      <c r="O512" t="str" cm="1">
        <f t="array" aca="1" ref="O512" ca="1">_xlfn.IFS(
L512&lt;=0,"Not Due",
L512&lt;=30,"0–30 Days",
L512&lt;=60,"31–60 Days",
L512&lt;=90,"61–90 Days",
L512&lt;=180,"91–180 Days",
L512&lt;=365,"181–365 Days",
L512&gt;365,"365+ Days (High Risk)"
)</f>
        <v>365+ Days (High Risk)</v>
      </c>
      <c r="P512">
        <f t="shared" si="55"/>
        <v>0</v>
      </c>
      <c r="Q512" s="3">
        <f t="shared" ca="1" si="53"/>
        <v>4923.67</v>
      </c>
    </row>
    <row r="513" spans="1:17" x14ac:dyDescent="0.25">
      <c r="A513" t="s">
        <v>517</v>
      </c>
      <c r="B513" t="s">
        <v>906</v>
      </c>
      <c r="C513" s="1">
        <v>45687</v>
      </c>
      <c r="D513" s="1">
        <v>45732</v>
      </c>
      <c r="E513">
        <v>2084.73</v>
      </c>
      <c r="F513" t="s">
        <v>915</v>
      </c>
      <c r="G513" t="s">
        <v>918</v>
      </c>
      <c r="H513" s="1">
        <v>45732</v>
      </c>
      <c r="I513" t="s">
        <v>919</v>
      </c>
      <c r="J513" t="b">
        <f t="shared" si="49"/>
        <v>0</v>
      </c>
      <c r="K513" s="3">
        <f t="shared" ca="1" si="50"/>
        <v>45</v>
      </c>
      <c r="L513" s="3">
        <f t="shared" ca="1" si="51"/>
        <v>0</v>
      </c>
      <c r="M513" t="str">
        <f t="shared" ca="1" si="52"/>
        <v>On Time</v>
      </c>
      <c r="N513">
        <f t="shared" si="54"/>
        <v>0</v>
      </c>
      <c r="O513" t="str" cm="1">
        <f t="array" aca="1" ref="O513" ca="1">_xlfn.IFS(
L513&lt;=0,"Not Due",
L513&lt;=30,"0–30 Days",
L513&lt;=60,"31–60 Days",
L513&lt;=90,"61–90 Days",
L513&lt;=180,"91–180 Days",
L513&lt;=365,"181–365 Days",
L513&gt;365,"365+ Days (High Risk)"
)</f>
        <v>Not Due</v>
      </c>
      <c r="P513">
        <f t="shared" si="55"/>
        <v>2084.73</v>
      </c>
      <c r="Q513" s="3">
        <f t="shared" ca="1" si="53"/>
        <v>0</v>
      </c>
    </row>
    <row r="514" spans="1:17" x14ac:dyDescent="0.25">
      <c r="A514" t="s">
        <v>518</v>
      </c>
      <c r="B514" t="s">
        <v>906</v>
      </c>
      <c r="C514" s="1">
        <v>45701</v>
      </c>
      <c r="D514" s="1">
        <v>45746</v>
      </c>
      <c r="E514">
        <v>6136.43</v>
      </c>
      <c r="F514" t="s">
        <v>914</v>
      </c>
      <c r="G514" t="s">
        <v>917</v>
      </c>
      <c r="I514" t="s">
        <v>919</v>
      </c>
      <c r="J514" t="b">
        <f t="shared" ref="J514:J577" si="56">ISBLANK(H514)</f>
        <v>1</v>
      </c>
      <c r="K514" s="3">
        <f t="shared" ref="K514:K577" ca="1" si="57">IF(G514="Received",
IF(H514="",TODAY()-C514,H514-C514),
TODAY()-C514)</f>
        <v>350</v>
      </c>
      <c r="L514" s="3">
        <f t="shared" ref="L514:L577" ca="1" si="58">IF(N514=0,0,TODAY()-D514)</f>
        <v>305</v>
      </c>
      <c r="M514" t="str">
        <f t="shared" ref="M514:M577" ca="1" si="59">IF(L514&gt;0,"Overdue","On Time")</f>
        <v>Overdue</v>
      </c>
      <c r="N514">
        <f t="shared" si="54"/>
        <v>6136.43</v>
      </c>
      <c r="O514" t="str" cm="1">
        <f t="array" aca="1" ref="O514" ca="1">_xlfn.IFS(
L514&lt;=0,"Not Due",
L514&lt;=30,"0–30 Days",
L514&lt;=60,"31–60 Days",
L514&lt;=90,"61–90 Days",
L514&lt;=180,"91–180 Days",
L514&lt;=365,"181–365 Days",
L514&gt;365,"365+ Days (High Risk)"
)</f>
        <v>181–365 Days</v>
      </c>
      <c r="P514">
        <f t="shared" si="55"/>
        <v>0</v>
      </c>
      <c r="Q514" s="3">
        <f t="shared" ref="Q514:Q577" ca="1" si="60">IF(L514&gt;0, N514, 0)</f>
        <v>6136.43</v>
      </c>
    </row>
    <row r="515" spans="1:17" x14ac:dyDescent="0.25">
      <c r="A515" t="s">
        <v>519</v>
      </c>
      <c r="B515" t="s">
        <v>908</v>
      </c>
      <c r="C515" s="1">
        <v>44973</v>
      </c>
      <c r="D515" s="1">
        <v>45018</v>
      </c>
      <c r="E515">
        <v>3787.59</v>
      </c>
      <c r="F515" t="s">
        <v>915</v>
      </c>
      <c r="G515" t="s">
        <v>918</v>
      </c>
      <c r="H515" s="1">
        <v>45018</v>
      </c>
      <c r="I515" t="s">
        <v>919</v>
      </c>
      <c r="J515" t="b">
        <f t="shared" si="56"/>
        <v>0</v>
      </c>
      <c r="K515" s="3">
        <f t="shared" ca="1" si="57"/>
        <v>45</v>
      </c>
      <c r="L515" s="3">
        <f t="shared" ca="1" si="58"/>
        <v>0</v>
      </c>
      <c r="M515" t="str">
        <f t="shared" ca="1" si="59"/>
        <v>On Time</v>
      </c>
      <c r="N515">
        <f t="shared" ref="N515:N578" si="61">IF(G515="Received",0,E515)</f>
        <v>0</v>
      </c>
      <c r="O515" t="str" cm="1">
        <f t="array" aca="1" ref="O515" ca="1">_xlfn.IFS(
L515&lt;=0,"Not Due",
L515&lt;=30,"0–30 Days",
L515&lt;=60,"31–60 Days",
L515&lt;=90,"61–90 Days",
L515&lt;=180,"91–180 Days",
L515&lt;=365,"181–365 Days",
L515&gt;365,"365+ Days (High Risk)"
)</f>
        <v>Not Due</v>
      </c>
      <c r="P515">
        <f t="shared" ref="P515:P578" si="62">E515-N515</f>
        <v>3787.59</v>
      </c>
      <c r="Q515" s="3">
        <f t="shared" ca="1" si="60"/>
        <v>0</v>
      </c>
    </row>
    <row r="516" spans="1:17" x14ac:dyDescent="0.25">
      <c r="A516" t="s">
        <v>520</v>
      </c>
      <c r="B516" t="s">
        <v>906</v>
      </c>
      <c r="C516" s="1">
        <v>45194</v>
      </c>
      <c r="D516" s="1">
        <v>45239</v>
      </c>
      <c r="E516">
        <v>6215.44</v>
      </c>
      <c r="F516" t="s">
        <v>914</v>
      </c>
      <c r="G516" t="s">
        <v>917</v>
      </c>
      <c r="I516" t="s">
        <v>919</v>
      </c>
      <c r="J516" t="b">
        <f t="shared" si="56"/>
        <v>1</v>
      </c>
      <c r="K516" s="3">
        <f t="shared" ca="1" si="57"/>
        <v>857</v>
      </c>
      <c r="L516" s="3">
        <f t="shared" ca="1" si="58"/>
        <v>812</v>
      </c>
      <c r="M516" t="str">
        <f t="shared" ca="1" si="59"/>
        <v>Overdue</v>
      </c>
      <c r="N516">
        <f t="shared" si="61"/>
        <v>6215.44</v>
      </c>
      <c r="O516" t="str" cm="1">
        <f t="array" aca="1" ref="O516" ca="1">_xlfn.IFS(
L516&lt;=0,"Not Due",
L516&lt;=30,"0–30 Days",
L516&lt;=60,"31–60 Days",
L516&lt;=90,"61–90 Days",
L516&lt;=180,"91–180 Days",
L516&lt;=365,"181–365 Days",
L516&gt;365,"365+ Days (High Risk)"
)</f>
        <v>365+ Days (High Risk)</v>
      </c>
      <c r="P516">
        <f t="shared" si="62"/>
        <v>0</v>
      </c>
      <c r="Q516" s="3">
        <f t="shared" ca="1" si="60"/>
        <v>6215.44</v>
      </c>
    </row>
    <row r="517" spans="1:17" x14ac:dyDescent="0.25">
      <c r="A517" t="s">
        <v>521</v>
      </c>
      <c r="B517" t="s">
        <v>909</v>
      </c>
      <c r="C517" s="1">
        <v>44945</v>
      </c>
      <c r="D517" s="1">
        <v>44990</v>
      </c>
      <c r="E517">
        <v>2857.74</v>
      </c>
      <c r="F517" t="s">
        <v>913</v>
      </c>
      <c r="G517" t="s">
        <v>916</v>
      </c>
      <c r="I517" t="s">
        <v>919</v>
      </c>
      <c r="J517" t="b">
        <f t="shared" si="56"/>
        <v>1</v>
      </c>
      <c r="K517" s="3">
        <f t="shared" ca="1" si="57"/>
        <v>1106</v>
      </c>
      <c r="L517" s="3">
        <f t="shared" ca="1" si="58"/>
        <v>1061</v>
      </c>
      <c r="M517" t="str">
        <f t="shared" ca="1" si="59"/>
        <v>Overdue</v>
      </c>
      <c r="N517">
        <f t="shared" si="61"/>
        <v>2857.74</v>
      </c>
      <c r="O517" t="str" cm="1">
        <f t="array" aca="1" ref="O517" ca="1">_xlfn.IFS(
L517&lt;=0,"Not Due",
L517&lt;=30,"0–30 Days",
L517&lt;=60,"31–60 Days",
L517&lt;=90,"61–90 Days",
L517&lt;=180,"91–180 Days",
L517&lt;=365,"181–365 Days",
L517&gt;365,"365+ Days (High Risk)"
)</f>
        <v>365+ Days (High Risk)</v>
      </c>
      <c r="P517">
        <f t="shared" si="62"/>
        <v>0</v>
      </c>
      <c r="Q517" s="3">
        <f t="shared" ca="1" si="60"/>
        <v>2857.74</v>
      </c>
    </row>
    <row r="518" spans="1:17" x14ac:dyDescent="0.25">
      <c r="A518" t="s">
        <v>522</v>
      </c>
      <c r="B518" t="s">
        <v>908</v>
      </c>
      <c r="C518" s="1">
        <v>45375</v>
      </c>
      <c r="D518" s="1">
        <v>45420</v>
      </c>
      <c r="E518">
        <v>4322.01</v>
      </c>
      <c r="F518" t="s">
        <v>914</v>
      </c>
      <c r="G518" t="s">
        <v>916</v>
      </c>
      <c r="I518" t="s">
        <v>919</v>
      </c>
      <c r="J518" t="b">
        <f t="shared" si="56"/>
        <v>1</v>
      </c>
      <c r="K518" s="3">
        <f t="shared" ca="1" si="57"/>
        <v>676</v>
      </c>
      <c r="L518" s="3">
        <f t="shared" ca="1" si="58"/>
        <v>631</v>
      </c>
      <c r="M518" t="str">
        <f t="shared" ca="1" si="59"/>
        <v>Overdue</v>
      </c>
      <c r="N518">
        <f t="shared" si="61"/>
        <v>4322.01</v>
      </c>
      <c r="O518" t="str" cm="1">
        <f t="array" aca="1" ref="O518" ca="1">_xlfn.IFS(
L518&lt;=0,"Not Due",
L518&lt;=30,"0–30 Days",
L518&lt;=60,"31–60 Days",
L518&lt;=90,"61–90 Days",
L518&lt;=180,"91–180 Days",
L518&lt;=365,"181–365 Days",
L518&gt;365,"365+ Days (High Risk)"
)</f>
        <v>365+ Days (High Risk)</v>
      </c>
      <c r="P518">
        <f t="shared" si="62"/>
        <v>0</v>
      </c>
      <c r="Q518" s="3">
        <f t="shared" ca="1" si="60"/>
        <v>4322.01</v>
      </c>
    </row>
    <row r="519" spans="1:17" x14ac:dyDescent="0.25">
      <c r="A519" t="s">
        <v>523</v>
      </c>
      <c r="B519" t="s">
        <v>906</v>
      </c>
      <c r="C519" s="1">
        <v>45713</v>
      </c>
      <c r="D519" s="1">
        <v>45758</v>
      </c>
      <c r="E519">
        <v>7905.09</v>
      </c>
      <c r="F519" t="s">
        <v>914</v>
      </c>
      <c r="G519" t="s">
        <v>917</v>
      </c>
      <c r="I519" t="s">
        <v>919</v>
      </c>
      <c r="J519" t="b">
        <f t="shared" si="56"/>
        <v>1</v>
      </c>
      <c r="K519" s="3">
        <f t="shared" ca="1" si="57"/>
        <v>338</v>
      </c>
      <c r="L519" s="3">
        <f t="shared" ca="1" si="58"/>
        <v>293</v>
      </c>
      <c r="M519" t="str">
        <f t="shared" ca="1" si="59"/>
        <v>Overdue</v>
      </c>
      <c r="N519">
        <f t="shared" si="61"/>
        <v>7905.09</v>
      </c>
      <c r="O519" t="str" cm="1">
        <f t="array" aca="1" ref="O519" ca="1">_xlfn.IFS(
L519&lt;=0,"Not Due",
L519&lt;=30,"0–30 Days",
L519&lt;=60,"31–60 Days",
L519&lt;=90,"61–90 Days",
L519&lt;=180,"91–180 Days",
L519&lt;=365,"181–365 Days",
L519&gt;365,"365+ Days (High Risk)"
)</f>
        <v>181–365 Days</v>
      </c>
      <c r="P519">
        <f t="shared" si="62"/>
        <v>0</v>
      </c>
      <c r="Q519" s="3">
        <f t="shared" ca="1" si="60"/>
        <v>7905.09</v>
      </c>
    </row>
    <row r="520" spans="1:17" x14ac:dyDescent="0.25">
      <c r="A520" t="s">
        <v>524</v>
      </c>
      <c r="B520" t="s">
        <v>907</v>
      </c>
      <c r="C520" s="1">
        <v>45350</v>
      </c>
      <c r="D520" s="1">
        <v>45395</v>
      </c>
      <c r="E520">
        <v>743.1</v>
      </c>
      <c r="F520" t="s">
        <v>914</v>
      </c>
      <c r="G520" t="s">
        <v>916</v>
      </c>
      <c r="I520" t="s">
        <v>919</v>
      </c>
      <c r="J520" t="b">
        <f t="shared" si="56"/>
        <v>1</v>
      </c>
      <c r="K520" s="3">
        <f t="shared" ca="1" si="57"/>
        <v>701</v>
      </c>
      <c r="L520" s="3">
        <f t="shared" ca="1" si="58"/>
        <v>656</v>
      </c>
      <c r="M520" t="str">
        <f t="shared" ca="1" si="59"/>
        <v>Overdue</v>
      </c>
      <c r="N520">
        <f t="shared" si="61"/>
        <v>743.1</v>
      </c>
      <c r="O520" t="str" cm="1">
        <f t="array" aca="1" ref="O520" ca="1">_xlfn.IFS(
L520&lt;=0,"Not Due",
L520&lt;=30,"0–30 Days",
L520&lt;=60,"31–60 Days",
L520&lt;=90,"61–90 Days",
L520&lt;=180,"91–180 Days",
L520&lt;=365,"181–365 Days",
L520&gt;365,"365+ Days (High Risk)"
)</f>
        <v>365+ Days (High Risk)</v>
      </c>
      <c r="P520">
        <f t="shared" si="62"/>
        <v>0</v>
      </c>
      <c r="Q520" s="3">
        <f t="shared" ca="1" si="60"/>
        <v>743.1</v>
      </c>
    </row>
    <row r="521" spans="1:17" x14ac:dyDescent="0.25">
      <c r="A521" t="s">
        <v>525</v>
      </c>
      <c r="B521" t="s">
        <v>910</v>
      </c>
      <c r="C521" s="1">
        <v>45297</v>
      </c>
      <c r="D521" s="1">
        <v>45342</v>
      </c>
      <c r="E521">
        <v>6727.1</v>
      </c>
      <c r="F521" t="s">
        <v>912</v>
      </c>
      <c r="G521" t="s">
        <v>916</v>
      </c>
      <c r="I521" t="s">
        <v>919</v>
      </c>
      <c r="J521" t="b">
        <f t="shared" si="56"/>
        <v>1</v>
      </c>
      <c r="K521" s="3">
        <f t="shared" ca="1" si="57"/>
        <v>754</v>
      </c>
      <c r="L521" s="3">
        <f t="shared" ca="1" si="58"/>
        <v>709</v>
      </c>
      <c r="M521" t="str">
        <f t="shared" ca="1" si="59"/>
        <v>Overdue</v>
      </c>
      <c r="N521">
        <f t="shared" si="61"/>
        <v>6727.1</v>
      </c>
      <c r="O521" t="str" cm="1">
        <f t="array" aca="1" ref="O521" ca="1">_xlfn.IFS(
L521&lt;=0,"Not Due",
L521&lt;=30,"0–30 Days",
L521&lt;=60,"31–60 Days",
L521&lt;=90,"61–90 Days",
L521&lt;=180,"91–180 Days",
L521&lt;=365,"181–365 Days",
L521&gt;365,"365+ Days (High Risk)"
)</f>
        <v>365+ Days (High Risk)</v>
      </c>
      <c r="P521">
        <f t="shared" si="62"/>
        <v>0</v>
      </c>
      <c r="Q521" s="3">
        <f t="shared" ca="1" si="60"/>
        <v>6727.1</v>
      </c>
    </row>
    <row r="522" spans="1:17" x14ac:dyDescent="0.25">
      <c r="A522" t="s">
        <v>526</v>
      </c>
      <c r="B522" t="s">
        <v>908</v>
      </c>
      <c r="C522" s="1">
        <v>45812</v>
      </c>
      <c r="D522" s="1">
        <v>45857</v>
      </c>
      <c r="E522">
        <v>917.97</v>
      </c>
      <c r="F522" t="s">
        <v>915</v>
      </c>
      <c r="G522" t="s">
        <v>917</v>
      </c>
      <c r="I522" t="s">
        <v>919</v>
      </c>
      <c r="J522" t="b">
        <f t="shared" si="56"/>
        <v>1</v>
      </c>
      <c r="K522" s="3">
        <f t="shared" ca="1" si="57"/>
        <v>239</v>
      </c>
      <c r="L522" s="3">
        <f t="shared" ca="1" si="58"/>
        <v>194</v>
      </c>
      <c r="M522" t="str">
        <f t="shared" ca="1" si="59"/>
        <v>Overdue</v>
      </c>
      <c r="N522">
        <f t="shared" si="61"/>
        <v>917.97</v>
      </c>
      <c r="O522" t="str" cm="1">
        <f t="array" aca="1" ref="O522" ca="1">_xlfn.IFS(
L522&lt;=0,"Not Due",
L522&lt;=30,"0–30 Days",
L522&lt;=60,"31–60 Days",
L522&lt;=90,"61–90 Days",
L522&lt;=180,"91–180 Days",
L522&lt;=365,"181–365 Days",
L522&gt;365,"365+ Days (High Risk)"
)</f>
        <v>181–365 Days</v>
      </c>
      <c r="P522">
        <f t="shared" si="62"/>
        <v>0</v>
      </c>
      <c r="Q522" s="3">
        <f t="shared" ca="1" si="60"/>
        <v>917.97</v>
      </c>
    </row>
    <row r="523" spans="1:17" x14ac:dyDescent="0.25">
      <c r="A523" t="s">
        <v>527</v>
      </c>
      <c r="B523" t="s">
        <v>906</v>
      </c>
      <c r="C523" s="1">
        <v>45520</v>
      </c>
      <c r="D523" s="1">
        <v>45565</v>
      </c>
      <c r="E523">
        <v>1299.6199999999999</v>
      </c>
      <c r="F523" t="s">
        <v>914</v>
      </c>
      <c r="G523" t="s">
        <v>916</v>
      </c>
      <c r="I523" t="s">
        <v>919</v>
      </c>
      <c r="J523" t="b">
        <f t="shared" si="56"/>
        <v>1</v>
      </c>
      <c r="K523" s="3">
        <f t="shared" ca="1" si="57"/>
        <v>531</v>
      </c>
      <c r="L523" s="3">
        <f t="shared" ca="1" si="58"/>
        <v>486</v>
      </c>
      <c r="M523" t="str">
        <f t="shared" ca="1" si="59"/>
        <v>Overdue</v>
      </c>
      <c r="N523">
        <f t="shared" si="61"/>
        <v>1299.6199999999999</v>
      </c>
      <c r="O523" t="str" cm="1">
        <f t="array" aca="1" ref="O523" ca="1">_xlfn.IFS(
L523&lt;=0,"Not Due",
L523&lt;=30,"0–30 Days",
L523&lt;=60,"31–60 Days",
L523&lt;=90,"61–90 Days",
L523&lt;=180,"91–180 Days",
L523&lt;=365,"181–365 Days",
L523&gt;365,"365+ Days (High Risk)"
)</f>
        <v>365+ Days (High Risk)</v>
      </c>
      <c r="P523">
        <f t="shared" si="62"/>
        <v>0</v>
      </c>
      <c r="Q523" s="3">
        <f t="shared" ca="1" si="60"/>
        <v>1299.6199999999999</v>
      </c>
    </row>
    <row r="524" spans="1:17" x14ac:dyDescent="0.25">
      <c r="A524" t="s">
        <v>528</v>
      </c>
      <c r="B524" t="s">
        <v>908</v>
      </c>
      <c r="C524" s="1">
        <v>45338</v>
      </c>
      <c r="D524" s="1">
        <v>45383</v>
      </c>
      <c r="E524">
        <v>2593.81</v>
      </c>
      <c r="F524" t="s">
        <v>915</v>
      </c>
      <c r="G524" t="s">
        <v>916</v>
      </c>
      <c r="I524" t="s">
        <v>919</v>
      </c>
      <c r="J524" t="b">
        <f t="shared" si="56"/>
        <v>1</v>
      </c>
      <c r="K524" s="3">
        <f t="shared" ca="1" si="57"/>
        <v>713</v>
      </c>
      <c r="L524" s="3">
        <f t="shared" ca="1" si="58"/>
        <v>668</v>
      </c>
      <c r="M524" t="str">
        <f t="shared" ca="1" si="59"/>
        <v>Overdue</v>
      </c>
      <c r="N524">
        <f t="shared" si="61"/>
        <v>2593.81</v>
      </c>
      <c r="O524" t="str" cm="1">
        <f t="array" aca="1" ref="O524" ca="1">_xlfn.IFS(
L524&lt;=0,"Not Due",
L524&lt;=30,"0–30 Days",
L524&lt;=60,"31–60 Days",
L524&lt;=90,"61–90 Days",
L524&lt;=180,"91–180 Days",
L524&lt;=365,"181–365 Days",
L524&gt;365,"365+ Days (High Risk)"
)</f>
        <v>365+ Days (High Risk)</v>
      </c>
      <c r="P524">
        <f t="shared" si="62"/>
        <v>0</v>
      </c>
      <c r="Q524" s="3">
        <f t="shared" ca="1" si="60"/>
        <v>2593.81</v>
      </c>
    </row>
    <row r="525" spans="1:17" x14ac:dyDescent="0.25">
      <c r="A525" t="s">
        <v>529</v>
      </c>
      <c r="B525" t="s">
        <v>907</v>
      </c>
      <c r="C525" s="1">
        <v>45715</v>
      </c>
      <c r="D525" s="1">
        <v>45760</v>
      </c>
      <c r="E525">
        <v>5910.9</v>
      </c>
      <c r="F525" t="s">
        <v>913</v>
      </c>
      <c r="G525" t="s">
        <v>916</v>
      </c>
      <c r="I525" t="s">
        <v>919</v>
      </c>
      <c r="J525" t="b">
        <f t="shared" si="56"/>
        <v>1</v>
      </c>
      <c r="K525" s="3">
        <f t="shared" ca="1" si="57"/>
        <v>336</v>
      </c>
      <c r="L525" s="3">
        <f t="shared" ca="1" si="58"/>
        <v>291</v>
      </c>
      <c r="M525" t="str">
        <f t="shared" ca="1" si="59"/>
        <v>Overdue</v>
      </c>
      <c r="N525">
        <f t="shared" si="61"/>
        <v>5910.9</v>
      </c>
      <c r="O525" t="str" cm="1">
        <f t="array" aca="1" ref="O525" ca="1">_xlfn.IFS(
L525&lt;=0,"Not Due",
L525&lt;=30,"0–30 Days",
L525&lt;=60,"31–60 Days",
L525&lt;=90,"61–90 Days",
L525&lt;=180,"91–180 Days",
L525&lt;=365,"181–365 Days",
L525&gt;365,"365+ Days (High Risk)"
)</f>
        <v>181–365 Days</v>
      </c>
      <c r="P525">
        <f t="shared" si="62"/>
        <v>0</v>
      </c>
      <c r="Q525" s="3">
        <f t="shared" ca="1" si="60"/>
        <v>5910.9</v>
      </c>
    </row>
    <row r="526" spans="1:17" x14ac:dyDescent="0.25">
      <c r="A526" t="s">
        <v>530</v>
      </c>
      <c r="B526" t="s">
        <v>906</v>
      </c>
      <c r="C526" s="1">
        <v>45271</v>
      </c>
      <c r="D526" s="1">
        <v>45316</v>
      </c>
      <c r="E526">
        <v>4375.05</v>
      </c>
      <c r="F526" t="s">
        <v>914</v>
      </c>
      <c r="G526" t="s">
        <v>917</v>
      </c>
      <c r="I526" t="s">
        <v>919</v>
      </c>
      <c r="J526" t="b">
        <f t="shared" si="56"/>
        <v>1</v>
      </c>
      <c r="K526" s="3">
        <f t="shared" ca="1" si="57"/>
        <v>780</v>
      </c>
      <c r="L526" s="3">
        <f t="shared" ca="1" si="58"/>
        <v>735</v>
      </c>
      <c r="M526" t="str">
        <f t="shared" ca="1" si="59"/>
        <v>Overdue</v>
      </c>
      <c r="N526">
        <f t="shared" si="61"/>
        <v>4375.05</v>
      </c>
      <c r="O526" t="str" cm="1">
        <f t="array" aca="1" ref="O526" ca="1">_xlfn.IFS(
L526&lt;=0,"Not Due",
L526&lt;=30,"0–30 Days",
L526&lt;=60,"31–60 Days",
L526&lt;=90,"61–90 Days",
L526&lt;=180,"91–180 Days",
L526&lt;=365,"181–365 Days",
L526&gt;365,"365+ Days (High Risk)"
)</f>
        <v>365+ Days (High Risk)</v>
      </c>
      <c r="P526">
        <f t="shared" si="62"/>
        <v>0</v>
      </c>
      <c r="Q526" s="3">
        <f t="shared" ca="1" si="60"/>
        <v>4375.05</v>
      </c>
    </row>
    <row r="527" spans="1:17" x14ac:dyDescent="0.25">
      <c r="A527" t="s">
        <v>531</v>
      </c>
      <c r="B527" t="s">
        <v>909</v>
      </c>
      <c r="C527" s="1">
        <v>45203</v>
      </c>
      <c r="D527" s="1">
        <v>45248</v>
      </c>
      <c r="E527">
        <v>5454.31</v>
      </c>
      <c r="F527" t="s">
        <v>915</v>
      </c>
      <c r="G527" t="s">
        <v>917</v>
      </c>
      <c r="I527" t="s">
        <v>919</v>
      </c>
      <c r="J527" t="b">
        <f t="shared" si="56"/>
        <v>1</v>
      </c>
      <c r="K527" s="3">
        <f t="shared" ca="1" si="57"/>
        <v>848</v>
      </c>
      <c r="L527" s="3">
        <f t="shared" ca="1" si="58"/>
        <v>803</v>
      </c>
      <c r="M527" t="str">
        <f t="shared" ca="1" si="59"/>
        <v>Overdue</v>
      </c>
      <c r="N527">
        <f t="shared" si="61"/>
        <v>5454.31</v>
      </c>
      <c r="O527" t="str" cm="1">
        <f t="array" aca="1" ref="O527" ca="1">_xlfn.IFS(
L527&lt;=0,"Not Due",
L527&lt;=30,"0–30 Days",
L527&lt;=60,"31–60 Days",
L527&lt;=90,"61–90 Days",
L527&lt;=180,"91–180 Days",
L527&lt;=365,"181–365 Days",
L527&gt;365,"365+ Days (High Risk)"
)</f>
        <v>365+ Days (High Risk)</v>
      </c>
      <c r="P527">
        <f t="shared" si="62"/>
        <v>0</v>
      </c>
      <c r="Q527" s="3">
        <f t="shared" ca="1" si="60"/>
        <v>5454.31</v>
      </c>
    </row>
    <row r="528" spans="1:17" x14ac:dyDescent="0.25">
      <c r="A528" t="s">
        <v>532</v>
      </c>
      <c r="B528" t="s">
        <v>910</v>
      </c>
      <c r="C528" s="1">
        <v>45067</v>
      </c>
      <c r="D528" s="1">
        <v>45112</v>
      </c>
      <c r="E528">
        <v>7779.62</v>
      </c>
      <c r="F528" t="s">
        <v>915</v>
      </c>
      <c r="G528" t="s">
        <v>916</v>
      </c>
      <c r="I528" t="s">
        <v>919</v>
      </c>
      <c r="J528" t="b">
        <f t="shared" si="56"/>
        <v>1</v>
      </c>
      <c r="K528" s="3">
        <f t="shared" ca="1" si="57"/>
        <v>984</v>
      </c>
      <c r="L528" s="3">
        <f t="shared" ca="1" si="58"/>
        <v>939</v>
      </c>
      <c r="M528" t="str">
        <f t="shared" ca="1" si="59"/>
        <v>Overdue</v>
      </c>
      <c r="N528">
        <f t="shared" si="61"/>
        <v>7779.62</v>
      </c>
      <c r="O528" t="str" cm="1">
        <f t="array" aca="1" ref="O528" ca="1">_xlfn.IFS(
L528&lt;=0,"Not Due",
L528&lt;=30,"0–30 Days",
L528&lt;=60,"31–60 Days",
L528&lt;=90,"61–90 Days",
L528&lt;=180,"91–180 Days",
L528&lt;=365,"181–365 Days",
L528&gt;365,"365+ Days (High Risk)"
)</f>
        <v>365+ Days (High Risk)</v>
      </c>
      <c r="P528">
        <f t="shared" si="62"/>
        <v>0</v>
      </c>
      <c r="Q528" s="3">
        <f t="shared" ca="1" si="60"/>
        <v>7779.62</v>
      </c>
    </row>
    <row r="529" spans="1:17" x14ac:dyDescent="0.25">
      <c r="A529" t="s">
        <v>533</v>
      </c>
      <c r="B529" t="s">
        <v>910</v>
      </c>
      <c r="C529" s="1">
        <v>45645</v>
      </c>
      <c r="D529" s="1">
        <v>45690</v>
      </c>
      <c r="E529">
        <v>6732.24</v>
      </c>
      <c r="F529" t="s">
        <v>912</v>
      </c>
      <c r="G529" t="s">
        <v>918</v>
      </c>
      <c r="H529" s="1">
        <v>45690</v>
      </c>
      <c r="I529" t="s">
        <v>919</v>
      </c>
      <c r="J529" t="b">
        <f t="shared" si="56"/>
        <v>0</v>
      </c>
      <c r="K529" s="3">
        <f t="shared" ca="1" si="57"/>
        <v>45</v>
      </c>
      <c r="L529" s="3">
        <f t="shared" ca="1" si="58"/>
        <v>0</v>
      </c>
      <c r="M529" t="str">
        <f t="shared" ca="1" si="59"/>
        <v>On Time</v>
      </c>
      <c r="N529">
        <f t="shared" si="61"/>
        <v>0</v>
      </c>
      <c r="O529" t="str" cm="1">
        <f t="array" aca="1" ref="O529" ca="1">_xlfn.IFS(
L529&lt;=0,"Not Due",
L529&lt;=30,"0–30 Days",
L529&lt;=60,"31–60 Days",
L529&lt;=90,"61–90 Days",
L529&lt;=180,"91–180 Days",
L529&lt;=365,"181–365 Days",
L529&gt;365,"365+ Days (High Risk)"
)</f>
        <v>Not Due</v>
      </c>
      <c r="P529">
        <f t="shared" si="62"/>
        <v>6732.24</v>
      </c>
      <c r="Q529" s="3">
        <f t="shared" ca="1" si="60"/>
        <v>0</v>
      </c>
    </row>
    <row r="530" spans="1:17" x14ac:dyDescent="0.25">
      <c r="A530" t="s">
        <v>534</v>
      </c>
      <c r="B530" t="s">
        <v>907</v>
      </c>
      <c r="C530" s="1">
        <v>45251</v>
      </c>
      <c r="D530" s="1">
        <v>45296</v>
      </c>
      <c r="E530">
        <v>6285.37</v>
      </c>
      <c r="F530" t="s">
        <v>915</v>
      </c>
      <c r="G530" t="s">
        <v>916</v>
      </c>
      <c r="I530" t="s">
        <v>919</v>
      </c>
      <c r="J530" t="b">
        <f t="shared" si="56"/>
        <v>1</v>
      </c>
      <c r="K530" s="3">
        <f t="shared" ca="1" si="57"/>
        <v>800</v>
      </c>
      <c r="L530" s="3">
        <f t="shared" ca="1" si="58"/>
        <v>755</v>
      </c>
      <c r="M530" t="str">
        <f t="shared" ca="1" si="59"/>
        <v>Overdue</v>
      </c>
      <c r="N530">
        <f t="shared" si="61"/>
        <v>6285.37</v>
      </c>
      <c r="O530" t="str" cm="1">
        <f t="array" aca="1" ref="O530" ca="1">_xlfn.IFS(
L530&lt;=0,"Not Due",
L530&lt;=30,"0–30 Days",
L530&lt;=60,"31–60 Days",
L530&lt;=90,"61–90 Days",
L530&lt;=180,"91–180 Days",
L530&lt;=365,"181–365 Days",
L530&gt;365,"365+ Days (High Risk)"
)</f>
        <v>365+ Days (High Risk)</v>
      </c>
      <c r="P530">
        <f t="shared" si="62"/>
        <v>0</v>
      </c>
      <c r="Q530" s="3">
        <f t="shared" ca="1" si="60"/>
        <v>6285.37</v>
      </c>
    </row>
    <row r="531" spans="1:17" x14ac:dyDescent="0.25">
      <c r="A531" t="s">
        <v>535</v>
      </c>
      <c r="B531" t="s">
        <v>907</v>
      </c>
      <c r="C531" s="1">
        <v>45458</v>
      </c>
      <c r="D531" s="1">
        <v>45503</v>
      </c>
      <c r="E531">
        <v>6675.34</v>
      </c>
      <c r="F531" t="s">
        <v>915</v>
      </c>
      <c r="G531" t="s">
        <v>916</v>
      </c>
      <c r="I531" t="s">
        <v>919</v>
      </c>
      <c r="J531" t="b">
        <f t="shared" si="56"/>
        <v>1</v>
      </c>
      <c r="K531" s="3">
        <f t="shared" ca="1" si="57"/>
        <v>593</v>
      </c>
      <c r="L531" s="3">
        <f t="shared" ca="1" si="58"/>
        <v>548</v>
      </c>
      <c r="M531" t="str">
        <f t="shared" ca="1" si="59"/>
        <v>Overdue</v>
      </c>
      <c r="N531">
        <f t="shared" si="61"/>
        <v>6675.34</v>
      </c>
      <c r="O531" t="str" cm="1">
        <f t="array" aca="1" ref="O531" ca="1">_xlfn.IFS(
L531&lt;=0,"Not Due",
L531&lt;=30,"0–30 Days",
L531&lt;=60,"31–60 Days",
L531&lt;=90,"61–90 Days",
L531&lt;=180,"91–180 Days",
L531&lt;=365,"181–365 Days",
L531&gt;365,"365+ Days (High Risk)"
)</f>
        <v>365+ Days (High Risk)</v>
      </c>
      <c r="P531">
        <f t="shared" si="62"/>
        <v>0</v>
      </c>
      <c r="Q531" s="3">
        <f t="shared" ca="1" si="60"/>
        <v>6675.34</v>
      </c>
    </row>
    <row r="532" spans="1:17" x14ac:dyDescent="0.25">
      <c r="A532" t="s">
        <v>536</v>
      </c>
      <c r="B532" t="s">
        <v>909</v>
      </c>
      <c r="C532" s="1">
        <v>45235</v>
      </c>
      <c r="D532" s="1">
        <v>45280</v>
      </c>
      <c r="E532">
        <v>7318.39</v>
      </c>
      <c r="F532" t="s">
        <v>911</v>
      </c>
      <c r="G532" t="s">
        <v>918</v>
      </c>
      <c r="H532" s="1">
        <v>45280</v>
      </c>
      <c r="I532" t="s">
        <v>919</v>
      </c>
      <c r="J532" t="b">
        <f t="shared" si="56"/>
        <v>0</v>
      </c>
      <c r="K532" s="3">
        <f t="shared" ca="1" si="57"/>
        <v>45</v>
      </c>
      <c r="L532" s="3">
        <f t="shared" ca="1" si="58"/>
        <v>0</v>
      </c>
      <c r="M532" t="str">
        <f t="shared" ca="1" si="59"/>
        <v>On Time</v>
      </c>
      <c r="N532">
        <f t="shared" si="61"/>
        <v>0</v>
      </c>
      <c r="O532" t="str" cm="1">
        <f t="array" aca="1" ref="O532" ca="1">_xlfn.IFS(
L532&lt;=0,"Not Due",
L532&lt;=30,"0–30 Days",
L532&lt;=60,"31–60 Days",
L532&lt;=90,"61–90 Days",
L532&lt;=180,"91–180 Days",
L532&lt;=365,"181–365 Days",
L532&gt;365,"365+ Days (High Risk)"
)</f>
        <v>Not Due</v>
      </c>
      <c r="P532">
        <f t="shared" si="62"/>
        <v>7318.39</v>
      </c>
      <c r="Q532" s="3">
        <f t="shared" ca="1" si="60"/>
        <v>0</v>
      </c>
    </row>
    <row r="533" spans="1:17" x14ac:dyDescent="0.25">
      <c r="A533" t="s">
        <v>537</v>
      </c>
      <c r="B533" t="s">
        <v>909</v>
      </c>
      <c r="C533" s="1">
        <v>45740</v>
      </c>
      <c r="D533" s="1">
        <v>45785</v>
      </c>
      <c r="E533">
        <v>5457.96</v>
      </c>
      <c r="F533" t="s">
        <v>914</v>
      </c>
      <c r="G533" t="s">
        <v>918</v>
      </c>
      <c r="H533" s="1">
        <v>45785</v>
      </c>
      <c r="I533" t="s">
        <v>919</v>
      </c>
      <c r="J533" t="b">
        <f t="shared" si="56"/>
        <v>0</v>
      </c>
      <c r="K533" s="3">
        <f t="shared" ca="1" si="57"/>
        <v>45</v>
      </c>
      <c r="L533" s="3">
        <f t="shared" ca="1" si="58"/>
        <v>0</v>
      </c>
      <c r="M533" t="str">
        <f t="shared" ca="1" si="59"/>
        <v>On Time</v>
      </c>
      <c r="N533">
        <f t="shared" si="61"/>
        <v>0</v>
      </c>
      <c r="O533" t="str" cm="1">
        <f t="array" aca="1" ref="O533" ca="1">_xlfn.IFS(
L533&lt;=0,"Not Due",
L533&lt;=30,"0–30 Days",
L533&lt;=60,"31–60 Days",
L533&lt;=90,"61–90 Days",
L533&lt;=180,"91–180 Days",
L533&lt;=365,"181–365 Days",
L533&gt;365,"365+ Days (High Risk)"
)</f>
        <v>Not Due</v>
      </c>
      <c r="P533">
        <f t="shared" si="62"/>
        <v>5457.96</v>
      </c>
      <c r="Q533" s="3">
        <f t="shared" ca="1" si="60"/>
        <v>0</v>
      </c>
    </row>
    <row r="534" spans="1:17" x14ac:dyDescent="0.25">
      <c r="A534" t="s">
        <v>538</v>
      </c>
      <c r="B534" t="s">
        <v>909</v>
      </c>
      <c r="C534" s="1">
        <v>45182</v>
      </c>
      <c r="D534" s="1">
        <v>45227</v>
      </c>
      <c r="E534">
        <v>637.74</v>
      </c>
      <c r="F534" t="s">
        <v>911</v>
      </c>
      <c r="G534" t="s">
        <v>918</v>
      </c>
      <c r="H534" s="1">
        <v>45227</v>
      </c>
      <c r="I534" t="s">
        <v>919</v>
      </c>
      <c r="J534" t="b">
        <f t="shared" si="56"/>
        <v>0</v>
      </c>
      <c r="K534" s="3">
        <f t="shared" ca="1" si="57"/>
        <v>45</v>
      </c>
      <c r="L534" s="3">
        <f t="shared" ca="1" si="58"/>
        <v>0</v>
      </c>
      <c r="M534" t="str">
        <f t="shared" ca="1" si="59"/>
        <v>On Time</v>
      </c>
      <c r="N534">
        <f t="shared" si="61"/>
        <v>0</v>
      </c>
      <c r="O534" t="str" cm="1">
        <f t="array" aca="1" ref="O534" ca="1">_xlfn.IFS(
L534&lt;=0,"Not Due",
L534&lt;=30,"0–30 Days",
L534&lt;=60,"31–60 Days",
L534&lt;=90,"61–90 Days",
L534&lt;=180,"91–180 Days",
L534&lt;=365,"181–365 Days",
L534&gt;365,"365+ Days (High Risk)"
)</f>
        <v>Not Due</v>
      </c>
      <c r="P534">
        <f t="shared" si="62"/>
        <v>637.74</v>
      </c>
      <c r="Q534" s="3">
        <f t="shared" ca="1" si="60"/>
        <v>0</v>
      </c>
    </row>
    <row r="535" spans="1:17" x14ac:dyDescent="0.25">
      <c r="A535" t="s">
        <v>539</v>
      </c>
      <c r="B535" t="s">
        <v>908</v>
      </c>
      <c r="C535" s="1">
        <v>45789</v>
      </c>
      <c r="D535" s="1">
        <v>45834</v>
      </c>
      <c r="E535">
        <v>3320.12</v>
      </c>
      <c r="F535" t="s">
        <v>912</v>
      </c>
      <c r="G535" t="s">
        <v>917</v>
      </c>
      <c r="I535" t="s">
        <v>919</v>
      </c>
      <c r="J535" t="b">
        <f t="shared" si="56"/>
        <v>1</v>
      </c>
      <c r="K535" s="3">
        <f t="shared" ca="1" si="57"/>
        <v>262</v>
      </c>
      <c r="L535" s="3">
        <f t="shared" ca="1" si="58"/>
        <v>217</v>
      </c>
      <c r="M535" t="str">
        <f t="shared" ca="1" si="59"/>
        <v>Overdue</v>
      </c>
      <c r="N535">
        <f t="shared" si="61"/>
        <v>3320.12</v>
      </c>
      <c r="O535" t="str" cm="1">
        <f t="array" aca="1" ref="O535" ca="1">_xlfn.IFS(
L535&lt;=0,"Not Due",
L535&lt;=30,"0–30 Days",
L535&lt;=60,"31–60 Days",
L535&lt;=90,"61–90 Days",
L535&lt;=180,"91–180 Days",
L535&lt;=365,"181–365 Days",
L535&gt;365,"365+ Days (High Risk)"
)</f>
        <v>181–365 Days</v>
      </c>
      <c r="P535">
        <f t="shared" si="62"/>
        <v>0</v>
      </c>
      <c r="Q535" s="3">
        <f t="shared" ca="1" si="60"/>
        <v>3320.12</v>
      </c>
    </row>
    <row r="536" spans="1:17" x14ac:dyDescent="0.25">
      <c r="A536" t="s">
        <v>540</v>
      </c>
      <c r="B536" t="s">
        <v>908</v>
      </c>
      <c r="C536" s="1">
        <v>45103</v>
      </c>
      <c r="D536" s="1">
        <v>45148</v>
      </c>
      <c r="E536">
        <v>3567.1</v>
      </c>
      <c r="F536" t="s">
        <v>912</v>
      </c>
      <c r="G536" t="s">
        <v>917</v>
      </c>
      <c r="I536" t="s">
        <v>919</v>
      </c>
      <c r="J536" t="b">
        <f t="shared" si="56"/>
        <v>1</v>
      </c>
      <c r="K536" s="3">
        <f t="shared" ca="1" si="57"/>
        <v>948</v>
      </c>
      <c r="L536" s="3">
        <f t="shared" ca="1" si="58"/>
        <v>903</v>
      </c>
      <c r="M536" t="str">
        <f t="shared" ca="1" si="59"/>
        <v>Overdue</v>
      </c>
      <c r="N536">
        <f t="shared" si="61"/>
        <v>3567.1</v>
      </c>
      <c r="O536" t="str" cm="1">
        <f t="array" aca="1" ref="O536" ca="1">_xlfn.IFS(
L536&lt;=0,"Not Due",
L536&lt;=30,"0–30 Days",
L536&lt;=60,"31–60 Days",
L536&lt;=90,"61–90 Days",
L536&lt;=180,"91–180 Days",
L536&lt;=365,"181–365 Days",
L536&gt;365,"365+ Days (High Risk)"
)</f>
        <v>365+ Days (High Risk)</v>
      </c>
      <c r="P536">
        <f t="shared" si="62"/>
        <v>0</v>
      </c>
      <c r="Q536" s="3">
        <f t="shared" ca="1" si="60"/>
        <v>3567.1</v>
      </c>
    </row>
    <row r="537" spans="1:17" x14ac:dyDescent="0.25">
      <c r="A537" t="s">
        <v>541</v>
      </c>
      <c r="B537" t="s">
        <v>910</v>
      </c>
      <c r="C537" s="1">
        <v>45466</v>
      </c>
      <c r="D537" s="1">
        <v>45511</v>
      </c>
      <c r="E537">
        <v>1514.1</v>
      </c>
      <c r="F537" t="s">
        <v>914</v>
      </c>
      <c r="G537" t="s">
        <v>916</v>
      </c>
      <c r="I537" t="s">
        <v>919</v>
      </c>
      <c r="J537" t="b">
        <f t="shared" si="56"/>
        <v>1</v>
      </c>
      <c r="K537" s="3">
        <f t="shared" ca="1" si="57"/>
        <v>585</v>
      </c>
      <c r="L537" s="3">
        <f t="shared" ca="1" si="58"/>
        <v>540</v>
      </c>
      <c r="M537" t="str">
        <f t="shared" ca="1" si="59"/>
        <v>Overdue</v>
      </c>
      <c r="N537">
        <f t="shared" si="61"/>
        <v>1514.1</v>
      </c>
      <c r="O537" t="str" cm="1">
        <f t="array" aca="1" ref="O537" ca="1">_xlfn.IFS(
L537&lt;=0,"Not Due",
L537&lt;=30,"0–30 Days",
L537&lt;=60,"31–60 Days",
L537&lt;=90,"61–90 Days",
L537&lt;=180,"91–180 Days",
L537&lt;=365,"181–365 Days",
L537&gt;365,"365+ Days (High Risk)"
)</f>
        <v>365+ Days (High Risk)</v>
      </c>
      <c r="P537">
        <f t="shared" si="62"/>
        <v>0</v>
      </c>
      <c r="Q537" s="3">
        <f t="shared" ca="1" si="60"/>
        <v>1514.1</v>
      </c>
    </row>
    <row r="538" spans="1:17" x14ac:dyDescent="0.25">
      <c r="A538" t="s">
        <v>542</v>
      </c>
      <c r="B538" t="s">
        <v>907</v>
      </c>
      <c r="C538" s="1">
        <v>45494</v>
      </c>
      <c r="D538" s="1">
        <v>45539</v>
      </c>
      <c r="E538">
        <v>5234.6000000000004</v>
      </c>
      <c r="F538" t="s">
        <v>911</v>
      </c>
      <c r="G538" t="s">
        <v>916</v>
      </c>
      <c r="I538" t="s">
        <v>919</v>
      </c>
      <c r="J538" t="b">
        <f t="shared" si="56"/>
        <v>1</v>
      </c>
      <c r="K538" s="3">
        <f t="shared" ca="1" si="57"/>
        <v>557</v>
      </c>
      <c r="L538" s="3">
        <f t="shared" ca="1" si="58"/>
        <v>512</v>
      </c>
      <c r="M538" t="str">
        <f t="shared" ca="1" si="59"/>
        <v>Overdue</v>
      </c>
      <c r="N538">
        <f t="shared" si="61"/>
        <v>5234.6000000000004</v>
      </c>
      <c r="O538" t="str" cm="1">
        <f t="array" aca="1" ref="O538" ca="1">_xlfn.IFS(
L538&lt;=0,"Not Due",
L538&lt;=30,"0–30 Days",
L538&lt;=60,"31–60 Days",
L538&lt;=90,"61–90 Days",
L538&lt;=180,"91–180 Days",
L538&lt;=365,"181–365 Days",
L538&gt;365,"365+ Days (High Risk)"
)</f>
        <v>365+ Days (High Risk)</v>
      </c>
      <c r="P538">
        <f t="shared" si="62"/>
        <v>0</v>
      </c>
      <c r="Q538" s="3">
        <f t="shared" ca="1" si="60"/>
        <v>5234.6000000000004</v>
      </c>
    </row>
    <row r="539" spans="1:17" x14ac:dyDescent="0.25">
      <c r="A539" t="s">
        <v>543</v>
      </c>
      <c r="B539" t="s">
        <v>909</v>
      </c>
      <c r="C539" s="1">
        <v>45273</v>
      </c>
      <c r="D539" s="1">
        <v>45318</v>
      </c>
      <c r="E539">
        <v>3441.63</v>
      </c>
      <c r="F539" t="s">
        <v>911</v>
      </c>
      <c r="G539" t="s">
        <v>917</v>
      </c>
      <c r="I539" t="s">
        <v>919</v>
      </c>
      <c r="J539" t="b">
        <f t="shared" si="56"/>
        <v>1</v>
      </c>
      <c r="K539" s="3">
        <f t="shared" ca="1" si="57"/>
        <v>778</v>
      </c>
      <c r="L539" s="3">
        <f t="shared" ca="1" si="58"/>
        <v>733</v>
      </c>
      <c r="M539" t="str">
        <f t="shared" ca="1" si="59"/>
        <v>Overdue</v>
      </c>
      <c r="N539">
        <f t="shared" si="61"/>
        <v>3441.63</v>
      </c>
      <c r="O539" t="str" cm="1">
        <f t="array" aca="1" ref="O539" ca="1">_xlfn.IFS(
L539&lt;=0,"Not Due",
L539&lt;=30,"0–30 Days",
L539&lt;=60,"31–60 Days",
L539&lt;=90,"61–90 Days",
L539&lt;=180,"91–180 Days",
L539&lt;=365,"181–365 Days",
L539&gt;365,"365+ Days (High Risk)"
)</f>
        <v>365+ Days (High Risk)</v>
      </c>
      <c r="P539">
        <f t="shared" si="62"/>
        <v>0</v>
      </c>
      <c r="Q539" s="3">
        <f t="shared" ca="1" si="60"/>
        <v>3441.63</v>
      </c>
    </row>
    <row r="540" spans="1:17" x14ac:dyDescent="0.25">
      <c r="A540" t="s">
        <v>544</v>
      </c>
      <c r="B540" t="s">
        <v>906</v>
      </c>
      <c r="C540" s="1">
        <v>45220</v>
      </c>
      <c r="D540" s="1">
        <v>45265</v>
      </c>
      <c r="E540">
        <v>6507.19</v>
      </c>
      <c r="F540" t="s">
        <v>914</v>
      </c>
      <c r="G540" t="s">
        <v>917</v>
      </c>
      <c r="I540" t="s">
        <v>919</v>
      </c>
      <c r="J540" t="b">
        <f t="shared" si="56"/>
        <v>1</v>
      </c>
      <c r="K540" s="3">
        <f t="shared" ca="1" si="57"/>
        <v>831</v>
      </c>
      <c r="L540" s="3">
        <f t="shared" ca="1" si="58"/>
        <v>786</v>
      </c>
      <c r="M540" t="str">
        <f t="shared" ca="1" si="59"/>
        <v>Overdue</v>
      </c>
      <c r="N540">
        <f t="shared" si="61"/>
        <v>6507.19</v>
      </c>
      <c r="O540" t="str" cm="1">
        <f t="array" aca="1" ref="O540" ca="1">_xlfn.IFS(
L540&lt;=0,"Not Due",
L540&lt;=30,"0–30 Days",
L540&lt;=60,"31–60 Days",
L540&lt;=90,"61–90 Days",
L540&lt;=180,"91–180 Days",
L540&lt;=365,"181–365 Days",
L540&gt;365,"365+ Days (High Risk)"
)</f>
        <v>365+ Days (High Risk)</v>
      </c>
      <c r="P540">
        <f t="shared" si="62"/>
        <v>0</v>
      </c>
      <c r="Q540" s="3">
        <f t="shared" ca="1" si="60"/>
        <v>6507.19</v>
      </c>
    </row>
    <row r="541" spans="1:17" x14ac:dyDescent="0.25">
      <c r="A541" t="s">
        <v>545</v>
      </c>
      <c r="B541" t="s">
        <v>908</v>
      </c>
      <c r="C541" s="1">
        <v>45719</v>
      </c>
      <c r="D541" s="1">
        <v>45764</v>
      </c>
      <c r="E541">
        <v>3028.92</v>
      </c>
      <c r="F541" t="s">
        <v>913</v>
      </c>
      <c r="G541" t="s">
        <v>917</v>
      </c>
      <c r="I541" t="s">
        <v>919</v>
      </c>
      <c r="J541" t="b">
        <f t="shared" si="56"/>
        <v>1</v>
      </c>
      <c r="K541" s="3">
        <f t="shared" ca="1" si="57"/>
        <v>332</v>
      </c>
      <c r="L541" s="3">
        <f t="shared" ca="1" si="58"/>
        <v>287</v>
      </c>
      <c r="M541" t="str">
        <f t="shared" ca="1" si="59"/>
        <v>Overdue</v>
      </c>
      <c r="N541">
        <f t="shared" si="61"/>
        <v>3028.92</v>
      </c>
      <c r="O541" t="str" cm="1">
        <f t="array" aca="1" ref="O541" ca="1">_xlfn.IFS(
L541&lt;=0,"Not Due",
L541&lt;=30,"0–30 Days",
L541&lt;=60,"31–60 Days",
L541&lt;=90,"61–90 Days",
L541&lt;=180,"91–180 Days",
L541&lt;=365,"181–365 Days",
L541&gt;365,"365+ Days (High Risk)"
)</f>
        <v>181–365 Days</v>
      </c>
      <c r="P541">
        <f t="shared" si="62"/>
        <v>0</v>
      </c>
      <c r="Q541" s="3">
        <f t="shared" ca="1" si="60"/>
        <v>3028.92</v>
      </c>
    </row>
    <row r="542" spans="1:17" x14ac:dyDescent="0.25">
      <c r="A542" t="s">
        <v>546</v>
      </c>
      <c r="B542" t="s">
        <v>910</v>
      </c>
      <c r="C542" s="1">
        <v>45181</v>
      </c>
      <c r="D542" s="1">
        <v>45226</v>
      </c>
      <c r="E542">
        <v>3580.15</v>
      </c>
      <c r="F542" t="s">
        <v>915</v>
      </c>
      <c r="G542" t="s">
        <v>918</v>
      </c>
      <c r="H542" s="1">
        <v>45226</v>
      </c>
      <c r="I542" t="s">
        <v>919</v>
      </c>
      <c r="J542" t="b">
        <f t="shared" si="56"/>
        <v>0</v>
      </c>
      <c r="K542" s="3">
        <f t="shared" ca="1" si="57"/>
        <v>45</v>
      </c>
      <c r="L542" s="3">
        <f t="shared" ca="1" si="58"/>
        <v>0</v>
      </c>
      <c r="M542" t="str">
        <f t="shared" ca="1" si="59"/>
        <v>On Time</v>
      </c>
      <c r="N542">
        <f t="shared" si="61"/>
        <v>0</v>
      </c>
      <c r="O542" t="str" cm="1">
        <f t="array" aca="1" ref="O542" ca="1">_xlfn.IFS(
L542&lt;=0,"Not Due",
L542&lt;=30,"0–30 Days",
L542&lt;=60,"31–60 Days",
L542&lt;=90,"61–90 Days",
L542&lt;=180,"91–180 Days",
L542&lt;=365,"181–365 Days",
L542&gt;365,"365+ Days (High Risk)"
)</f>
        <v>Not Due</v>
      </c>
      <c r="P542">
        <f t="shared" si="62"/>
        <v>3580.15</v>
      </c>
      <c r="Q542" s="3">
        <f t="shared" ca="1" si="60"/>
        <v>0</v>
      </c>
    </row>
    <row r="543" spans="1:17" x14ac:dyDescent="0.25">
      <c r="A543" t="s">
        <v>547</v>
      </c>
      <c r="B543" t="s">
        <v>910</v>
      </c>
      <c r="C543" s="1">
        <v>45728</v>
      </c>
      <c r="D543" s="1">
        <v>45773</v>
      </c>
      <c r="E543">
        <v>6618.18</v>
      </c>
      <c r="F543" t="s">
        <v>912</v>
      </c>
      <c r="G543" t="s">
        <v>916</v>
      </c>
      <c r="I543" t="s">
        <v>919</v>
      </c>
      <c r="J543" t="b">
        <f t="shared" si="56"/>
        <v>1</v>
      </c>
      <c r="K543" s="3">
        <f t="shared" ca="1" si="57"/>
        <v>323</v>
      </c>
      <c r="L543" s="3">
        <f t="shared" ca="1" si="58"/>
        <v>278</v>
      </c>
      <c r="M543" t="str">
        <f t="shared" ca="1" si="59"/>
        <v>Overdue</v>
      </c>
      <c r="N543">
        <f t="shared" si="61"/>
        <v>6618.18</v>
      </c>
      <c r="O543" t="str" cm="1">
        <f t="array" aca="1" ref="O543" ca="1">_xlfn.IFS(
L543&lt;=0,"Not Due",
L543&lt;=30,"0–30 Days",
L543&lt;=60,"31–60 Days",
L543&lt;=90,"61–90 Days",
L543&lt;=180,"91–180 Days",
L543&lt;=365,"181–365 Days",
L543&gt;365,"365+ Days (High Risk)"
)</f>
        <v>181–365 Days</v>
      </c>
      <c r="P543">
        <f t="shared" si="62"/>
        <v>0</v>
      </c>
      <c r="Q543" s="3">
        <f t="shared" ca="1" si="60"/>
        <v>6618.18</v>
      </c>
    </row>
    <row r="544" spans="1:17" x14ac:dyDescent="0.25">
      <c r="A544" t="s">
        <v>548</v>
      </c>
      <c r="B544" t="s">
        <v>908</v>
      </c>
      <c r="C544" s="1">
        <v>45352</v>
      </c>
      <c r="D544" s="1">
        <v>45397</v>
      </c>
      <c r="E544">
        <v>289.27999999999997</v>
      </c>
      <c r="F544" t="s">
        <v>915</v>
      </c>
      <c r="G544" t="s">
        <v>916</v>
      </c>
      <c r="I544" t="s">
        <v>919</v>
      </c>
      <c r="J544" t="b">
        <f t="shared" si="56"/>
        <v>1</v>
      </c>
      <c r="K544" s="3">
        <f t="shared" ca="1" si="57"/>
        <v>699</v>
      </c>
      <c r="L544" s="3">
        <f t="shared" ca="1" si="58"/>
        <v>654</v>
      </c>
      <c r="M544" t="str">
        <f t="shared" ca="1" si="59"/>
        <v>Overdue</v>
      </c>
      <c r="N544">
        <f t="shared" si="61"/>
        <v>289.27999999999997</v>
      </c>
      <c r="O544" t="str" cm="1">
        <f t="array" aca="1" ref="O544" ca="1">_xlfn.IFS(
L544&lt;=0,"Not Due",
L544&lt;=30,"0–30 Days",
L544&lt;=60,"31–60 Days",
L544&lt;=90,"61–90 Days",
L544&lt;=180,"91–180 Days",
L544&lt;=365,"181–365 Days",
L544&gt;365,"365+ Days (High Risk)"
)</f>
        <v>365+ Days (High Risk)</v>
      </c>
      <c r="P544">
        <f t="shared" si="62"/>
        <v>0</v>
      </c>
      <c r="Q544" s="3">
        <f t="shared" ca="1" si="60"/>
        <v>289.27999999999997</v>
      </c>
    </row>
    <row r="545" spans="1:17" x14ac:dyDescent="0.25">
      <c r="A545" t="s">
        <v>549</v>
      </c>
      <c r="B545" t="s">
        <v>907</v>
      </c>
      <c r="C545" s="1">
        <v>45759</v>
      </c>
      <c r="D545" s="1">
        <v>45804</v>
      </c>
      <c r="E545">
        <v>5116.57</v>
      </c>
      <c r="F545" t="s">
        <v>914</v>
      </c>
      <c r="G545" t="s">
        <v>916</v>
      </c>
      <c r="I545" t="s">
        <v>919</v>
      </c>
      <c r="J545" t="b">
        <f t="shared" si="56"/>
        <v>1</v>
      </c>
      <c r="K545" s="3">
        <f t="shared" ca="1" si="57"/>
        <v>292</v>
      </c>
      <c r="L545" s="3">
        <f t="shared" ca="1" si="58"/>
        <v>247</v>
      </c>
      <c r="M545" t="str">
        <f t="shared" ca="1" si="59"/>
        <v>Overdue</v>
      </c>
      <c r="N545">
        <f t="shared" si="61"/>
        <v>5116.57</v>
      </c>
      <c r="O545" t="str" cm="1">
        <f t="array" aca="1" ref="O545" ca="1">_xlfn.IFS(
L545&lt;=0,"Not Due",
L545&lt;=30,"0–30 Days",
L545&lt;=60,"31–60 Days",
L545&lt;=90,"61–90 Days",
L545&lt;=180,"91–180 Days",
L545&lt;=365,"181–365 Days",
L545&gt;365,"365+ Days (High Risk)"
)</f>
        <v>181–365 Days</v>
      </c>
      <c r="P545">
        <f t="shared" si="62"/>
        <v>0</v>
      </c>
      <c r="Q545" s="3">
        <f t="shared" ca="1" si="60"/>
        <v>5116.57</v>
      </c>
    </row>
    <row r="546" spans="1:17" x14ac:dyDescent="0.25">
      <c r="A546" t="s">
        <v>550</v>
      </c>
      <c r="B546" t="s">
        <v>910</v>
      </c>
      <c r="C546" s="1">
        <v>45575</v>
      </c>
      <c r="D546" s="1">
        <v>45620</v>
      </c>
      <c r="E546">
        <v>3349.7</v>
      </c>
      <c r="F546" t="s">
        <v>913</v>
      </c>
      <c r="G546" t="s">
        <v>918</v>
      </c>
      <c r="H546" s="1">
        <v>45620</v>
      </c>
      <c r="I546" t="s">
        <v>919</v>
      </c>
      <c r="J546" t="b">
        <f t="shared" si="56"/>
        <v>0</v>
      </c>
      <c r="K546" s="3">
        <f t="shared" ca="1" si="57"/>
        <v>45</v>
      </c>
      <c r="L546" s="3">
        <f t="shared" ca="1" si="58"/>
        <v>0</v>
      </c>
      <c r="M546" t="str">
        <f t="shared" ca="1" si="59"/>
        <v>On Time</v>
      </c>
      <c r="N546">
        <f t="shared" si="61"/>
        <v>0</v>
      </c>
      <c r="O546" t="str" cm="1">
        <f t="array" aca="1" ref="O546" ca="1">_xlfn.IFS(
L546&lt;=0,"Not Due",
L546&lt;=30,"0–30 Days",
L546&lt;=60,"31–60 Days",
L546&lt;=90,"61–90 Days",
L546&lt;=180,"91–180 Days",
L546&lt;=365,"181–365 Days",
L546&gt;365,"365+ Days (High Risk)"
)</f>
        <v>Not Due</v>
      </c>
      <c r="P546">
        <f t="shared" si="62"/>
        <v>3349.7</v>
      </c>
      <c r="Q546" s="3">
        <f t="shared" ca="1" si="60"/>
        <v>0</v>
      </c>
    </row>
    <row r="547" spans="1:17" x14ac:dyDescent="0.25">
      <c r="A547" t="s">
        <v>551</v>
      </c>
      <c r="B547" t="s">
        <v>906</v>
      </c>
      <c r="C547" s="1">
        <v>45496</v>
      </c>
      <c r="D547" s="1">
        <v>45541</v>
      </c>
      <c r="E547">
        <v>2650.37</v>
      </c>
      <c r="F547" t="s">
        <v>913</v>
      </c>
      <c r="G547" t="s">
        <v>916</v>
      </c>
      <c r="I547" t="s">
        <v>919</v>
      </c>
      <c r="J547" t="b">
        <f t="shared" si="56"/>
        <v>1</v>
      </c>
      <c r="K547" s="3">
        <f t="shared" ca="1" si="57"/>
        <v>555</v>
      </c>
      <c r="L547" s="3">
        <f t="shared" ca="1" si="58"/>
        <v>510</v>
      </c>
      <c r="M547" t="str">
        <f t="shared" ca="1" si="59"/>
        <v>Overdue</v>
      </c>
      <c r="N547">
        <f t="shared" si="61"/>
        <v>2650.37</v>
      </c>
      <c r="O547" t="str" cm="1">
        <f t="array" aca="1" ref="O547" ca="1">_xlfn.IFS(
L547&lt;=0,"Not Due",
L547&lt;=30,"0–30 Days",
L547&lt;=60,"31–60 Days",
L547&lt;=90,"61–90 Days",
L547&lt;=180,"91–180 Days",
L547&lt;=365,"181–365 Days",
L547&gt;365,"365+ Days (High Risk)"
)</f>
        <v>365+ Days (High Risk)</v>
      </c>
      <c r="P547">
        <f t="shared" si="62"/>
        <v>0</v>
      </c>
      <c r="Q547" s="3">
        <f t="shared" ca="1" si="60"/>
        <v>2650.37</v>
      </c>
    </row>
    <row r="548" spans="1:17" x14ac:dyDescent="0.25">
      <c r="A548" t="s">
        <v>552</v>
      </c>
      <c r="B548" t="s">
        <v>910</v>
      </c>
      <c r="C548" s="1">
        <v>45769</v>
      </c>
      <c r="D548" s="1">
        <v>45814</v>
      </c>
      <c r="E548">
        <v>4369.96</v>
      </c>
      <c r="F548" t="s">
        <v>914</v>
      </c>
      <c r="G548" t="s">
        <v>917</v>
      </c>
      <c r="I548" t="s">
        <v>919</v>
      </c>
      <c r="J548" t="b">
        <f t="shared" si="56"/>
        <v>1</v>
      </c>
      <c r="K548" s="3">
        <f t="shared" ca="1" si="57"/>
        <v>282</v>
      </c>
      <c r="L548" s="3">
        <f t="shared" ca="1" si="58"/>
        <v>237</v>
      </c>
      <c r="M548" t="str">
        <f t="shared" ca="1" si="59"/>
        <v>Overdue</v>
      </c>
      <c r="N548">
        <f t="shared" si="61"/>
        <v>4369.96</v>
      </c>
      <c r="O548" t="str" cm="1">
        <f t="array" aca="1" ref="O548" ca="1">_xlfn.IFS(
L548&lt;=0,"Not Due",
L548&lt;=30,"0–30 Days",
L548&lt;=60,"31–60 Days",
L548&lt;=90,"61–90 Days",
L548&lt;=180,"91–180 Days",
L548&lt;=365,"181–365 Days",
L548&gt;365,"365+ Days (High Risk)"
)</f>
        <v>181–365 Days</v>
      </c>
      <c r="P548">
        <f t="shared" si="62"/>
        <v>0</v>
      </c>
      <c r="Q548" s="3">
        <f t="shared" ca="1" si="60"/>
        <v>4369.96</v>
      </c>
    </row>
    <row r="549" spans="1:17" x14ac:dyDescent="0.25">
      <c r="A549" t="s">
        <v>553</v>
      </c>
      <c r="B549" t="s">
        <v>908</v>
      </c>
      <c r="C549" s="1">
        <v>45749</v>
      </c>
      <c r="D549" s="1">
        <v>45794</v>
      </c>
      <c r="E549">
        <v>436.3</v>
      </c>
      <c r="F549" t="s">
        <v>914</v>
      </c>
      <c r="G549" t="s">
        <v>916</v>
      </c>
      <c r="I549" t="s">
        <v>919</v>
      </c>
      <c r="J549" t="b">
        <f t="shared" si="56"/>
        <v>1</v>
      </c>
      <c r="K549" s="3">
        <f t="shared" ca="1" si="57"/>
        <v>302</v>
      </c>
      <c r="L549" s="3">
        <f t="shared" ca="1" si="58"/>
        <v>257</v>
      </c>
      <c r="M549" t="str">
        <f t="shared" ca="1" si="59"/>
        <v>Overdue</v>
      </c>
      <c r="N549">
        <f t="shared" si="61"/>
        <v>436.3</v>
      </c>
      <c r="O549" t="str" cm="1">
        <f t="array" aca="1" ref="O549" ca="1">_xlfn.IFS(
L549&lt;=0,"Not Due",
L549&lt;=30,"0–30 Days",
L549&lt;=60,"31–60 Days",
L549&lt;=90,"61–90 Days",
L549&lt;=180,"91–180 Days",
L549&lt;=365,"181–365 Days",
L549&gt;365,"365+ Days (High Risk)"
)</f>
        <v>181–365 Days</v>
      </c>
      <c r="P549">
        <f t="shared" si="62"/>
        <v>0</v>
      </c>
      <c r="Q549" s="3">
        <f t="shared" ca="1" si="60"/>
        <v>436.3</v>
      </c>
    </row>
    <row r="550" spans="1:17" x14ac:dyDescent="0.25">
      <c r="A550" t="s">
        <v>554</v>
      </c>
      <c r="B550" t="s">
        <v>906</v>
      </c>
      <c r="C550" s="1">
        <v>45308</v>
      </c>
      <c r="D550" s="1">
        <v>45353</v>
      </c>
      <c r="E550">
        <v>2188.6999999999998</v>
      </c>
      <c r="F550" t="s">
        <v>915</v>
      </c>
      <c r="G550" t="s">
        <v>916</v>
      </c>
      <c r="I550" t="s">
        <v>919</v>
      </c>
      <c r="J550" t="b">
        <f t="shared" si="56"/>
        <v>1</v>
      </c>
      <c r="K550" s="3">
        <f t="shared" ca="1" si="57"/>
        <v>743</v>
      </c>
      <c r="L550" s="3">
        <f t="shared" ca="1" si="58"/>
        <v>698</v>
      </c>
      <c r="M550" t="str">
        <f t="shared" ca="1" si="59"/>
        <v>Overdue</v>
      </c>
      <c r="N550">
        <f t="shared" si="61"/>
        <v>2188.6999999999998</v>
      </c>
      <c r="O550" t="str" cm="1">
        <f t="array" aca="1" ref="O550" ca="1">_xlfn.IFS(
L550&lt;=0,"Not Due",
L550&lt;=30,"0–30 Days",
L550&lt;=60,"31–60 Days",
L550&lt;=90,"61–90 Days",
L550&lt;=180,"91–180 Days",
L550&lt;=365,"181–365 Days",
L550&gt;365,"365+ Days (High Risk)"
)</f>
        <v>365+ Days (High Risk)</v>
      </c>
      <c r="P550">
        <f t="shared" si="62"/>
        <v>0</v>
      </c>
      <c r="Q550" s="3">
        <f t="shared" ca="1" si="60"/>
        <v>2188.6999999999998</v>
      </c>
    </row>
    <row r="551" spans="1:17" x14ac:dyDescent="0.25">
      <c r="A551" t="s">
        <v>555</v>
      </c>
      <c r="B551" t="s">
        <v>910</v>
      </c>
      <c r="C551" s="1">
        <v>45362</v>
      </c>
      <c r="D551" s="1">
        <v>45407</v>
      </c>
      <c r="E551">
        <v>5461.99</v>
      </c>
      <c r="F551" t="s">
        <v>911</v>
      </c>
      <c r="G551" t="s">
        <v>918</v>
      </c>
      <c r="H551" s="1">
        <v>45407</v>
      </c>
      <c r="I551" t="s">
        <v>919</v>
      </c>
      <c r="J551" t="b">
        <f t="shared" si="56"/>
        <v>0</v>
      </c>
      <c r="K551" s="3">
        <f t="shared" ca="1" si="57"/>
        <v>45</v>
      </c>
      <c r="L551" s="3">
        <f t="shared" ca="1" si="58"/>
        <v>0</v>
      </c>
      <c r="M551" t="str">
        <f t="shared" ca="1" si="59"/>
        <v>On Time</v>
      </c>
      <c r="N551">
        <f t="shared" si="61"/>
        <v>0</v>
      </c>
      <c r="O551" t="str" cm="1">
        <f t="array" aca="1" ref="O551" ca="1">_xlfn.IFS(
L551&lt;=0,"Not Due",
L551&lt;=30,"0–30 Days",
L551&lt;=60,"31–60 Days",
L551&lt;=90,"61–90 Days",
L551&lt;=180,"91–180 Days",
L551&lt;=365,"181–365 Days",
L551&gt;365,"365+ Days (High Risk)"
)</f>
        <v>Not Due</v>
      </c>
      <c r="P551">
        <f t="shared" si="62"/>
        <v>5461.99</v>
      </c>
      <c r="Q551" s="3">
        <f t="shared" ca="1" si="60"/>
        <v>0</v>
      </c>
    </row>
    <row r="552" spans="1:17" x14ac:dyDescent="0.25">
      <c r="A552" t="s">
        <v>556</v>
      </c>
      <c r="B552" t="s">
        <v>910</v>
      </c>
      <c r="C552" s="1">
        <v>45144</v>
      </c>
      <c r="D552" s="1">
        <v>45189</v>
      </c>
      <c r="E552">
        <v>4212.33</v>
      </c>
      <c r="F552" t="s">
        <v>913</v>
      </c>
      <c r="G552" t="s">
        <v>916</v>
      </c>
      <c r="I552" t="s">
        <v>919</v>
      </c>
      <c r="J552" t="b">
        <f t="shared" si="56"/>
        <v>1</v>
      </c>
      <c r="K552" s="3">
        <f t="shared" ca="1" si="57"/>
        <v>907</v>
      </c>
      <c r="L552" s="3">
        <f t="shared" ca="1" si="58"/>
        <v>862</v>
      </c>
      <c r="M552" t="str">
        <f t="shared" ca="1" si="59"/>
        <v>Overdue</v>
      </c>
      <c r="N552">
        <f t="shared" si="61"/>
        <v>4212.33</v>
      </c>
      <c r="O552" t="str" cm="1">
        <f t="array" aca="1" ref="O552" ca="1">_xlfn.IFS(
L552&lt;=0,"Not Due",
L552&lt;=30,"0–30 Days",
L552&lt;=60,"31–60 Days",
L552&lt;=90,"61–90 Days",
L552&lt;=180,"91–180 Days",
L552&lt;=365,"181–365 Days",
L552&gt;365,"365+ Days (High Risk)"
)</f>
        <v>365+ Days (High Risk)</v>
      </c>
      <c r="P552">
        <f t="shared" si="62"/>
        <v>0</v>
      </c>
      <c r="Q552" s="3">
        <f t="shared" ca="1" si="60"/>
        <v>4212.33</v>
      </c>
    </row>
    <row r="553" spans="1:17" x14ac:dyDescent="0.25">
      <c r="A553" t="s">
        <v>557</v>
      </c>
      <c r="B553" t="s">
        <v>909</v>
      </c>
      <c r="C553" s="1">
        <v>45579</v>
      </c>
      <c r="D553" s="1">
        <v>45624</v>
      </c>
      <c r="E553">
        <v>5357.53</v>
      </c>
      <c r="F553" t="s">
        <v>911</v>
      </c>
      <c r="G553" t="s">
        <v>917</v>
      </c>
      <c r="I553" t="s">
        <v>919</v>
      </c>
      <c r="J553" t="b">
        <f t="shared" si="56"/>
        <v>1</v>
      </c>
      <c r="K553" s="3">
        <f t="shared" ca="1" si="57"/>
        <v>472</v>
      </c>
      <c r="L553" s="3">
        <f t="shared" ca="1" si="58"/>
        <v>427</v>
      </c>
      <c r="M553" t="str">
        <f t="shared" ca="1" si="59"/>
        <v>Overdue</v>
      </c>
      <c r="N553">
        <f t="shared" si="61"/>
        <v>5357.53</v>
      </c>
      <c r="O553" t="str" cm="1">
        <f t="array" aca="1" ref="O553" ca="1">_xlfn.IFS(
L553&lt;=0,"Not Due",
L553&lt;=30,"0–30 Days",
L553&lt;=60,"31–60 Days",
L553&lt;=90,"61–90 Days",
L553&lt;=180,"91–180 Days",
L553&lt;=365,"181–365 Days",
L553&gt;365,"365+ Days (High Risk)"
)</f>
        <v>365+ Days (High Risk)</v>
      </c>
      <c r="P553">
        <f t="shared" si="62"/>
        <v>0</v>
      </c>
      <c r="Q553" s="3">
        <f t="shared" ca="1" si="60"/>
        <v>5357.53</v>
      </c>
    </row>
    <row r="554" spans="1:17" x14ac:dyDescent="0.25">
      <c r="A554" t="s">
        <v>558</v>
      </c>
      <c r="B554" t="s">
        <v>910</v>
      </c>
      <c r="C554" s="1">
        <v>45404</v>
      </c>
      <c r="D554" s="1">
        <v>45449</v>
      </c>
      <c r="E554">
        <v>3853.52</v>
      </c>
      <c r="F554" t="s">
        <v>913</v>
      </c>
      <c r="G554" t="s">
        <v>917</v>
      </c>
      <c r="I554" t="s">
        <v>919</v>
      </c>
      <c r="J554" t="b">
        <f t="shared" si="56"/>
        <v>1</v>
      </c>
      <c r="K554" s="3">
        <f t="shared" ca="1" si="57"/>
        <v>647</v>
      </c>
      <c r="L554" s="3">
        <f t="shared" ca="1" si="58"/>
        <v>602</v>
      </c>
      <c r="M554" t="str">
        <f t="shared" ca="1" si="59"/>
        <v>Overdue</v>
      </c>
      <c r="N554">
        <f t="shared" si="61"/>
        <v>3853.52</v>
      </c>
      <c r="O554" t="str" cm="1">
        <f t="array" aca="1" ref="O554" ca="1">_xlfn.IFS(
L554&lt;=0,"Not Due",
L554&lt;=30,"0–30 Days",
L554&lt;=60,"31–60 Days",
L554&lt;=90,"61–90 Days",
L554&lt;=180,"91–180 Days",
L554&lt;=365,"181–365 Days",
L554&gt;365,"365+ Days (High Risk)"
)</f>
        <v>365+ Days (High Risk)</v>
      </c>
      <c r="P554">
        <f t="shared" si="62"/>
        <v>0</v>
      </c>
      <c r="Q554" s="3">
        <f t="shared" ca="1" si="60"/>
        <v>3853.52</v>
      </c>
    </row>
    <row r="555" spans="1:17" x14ac:dyDescent="0.25">
      <c r="A555" t="s">
        <v>559</v>
      </c>
      <c r="B555" t="s">
        <v>909</v>
      </c>
      <c r="C555" s="1">
        <v>44991</v>
      </c>
      <c r="D555" s="1">
        <v>45036</v>
      </c>
      <c r="E555">
        <v>3722.35</v>
      </c>
      <c r="F555" t="s">
        <v>915</v>
      </c>
      <c r="G555" t="s">
        <v>918</v>
      </c>
      <c r="H555" s="1">
        <v>45036</v>
      </c>
      <c r="I555" t="s">
        <v>919</v>
      </c>
      <c r="J555" t="b">
        <f t="shared" si="56"/>
        <v>0</v>
      </c>
      <c r="K555" s="3">
        <f t="shared" ca="1" si="57"/>
        <v>45</v>
      </c>
      <c r="L555" s="3">
        <f t="shared" ca="1" si="58"/>
        <v>0</v>
      </c>
      <c r="M555" t="str">
        <f t="shared" ca="1" si="59"/>
        <v>On Time</v>
      </c>
      <c r="N555">
        <f t="shared" si="61"/>
        <v>0</v>
      </c>
      <c r="O555" t="str" cm="1">
        <f t="array" aca="1" ref="O555" ca="1">_xlfn.IFS(
L555&lt;=0,"Not Due",
L555&lt;=30,"0–30 Days",
L555&lt;=60,"31–60 Days",
L555&lt;=90,"61–90 Days",
L555&lt;=180,"91–180 Days",
L555&lt;=365,"181–365 Days",
L555&gt;365,"365+ Days (High Risk)"
)</f>
        <v>Not Due</v>
      </c>
      <c r="P555">
        <f t="shared" si="62"/>
        <v>3722.35</v>
      </c>
      <c r="Q555" s="3">
        <f t="shared" ca="1" si="60"/>
        <v>0</v>
      </c>
    </row>
    <row r="556" spans="1:17" x14ac:dyDescent="0.25">
      <c r="A556" t="s">
        <v>560</v>
      </c>
      <c r="B556" t="s">
        <v>906</v>
      </c>
      <c r="C556" s="1">
        <v>44996</v>
      </c>
      <c r="D556" s="1">
        <v>45041</v>
      </c>
      <c r="E556">
        <v>6667.79</v>
      </c>
      <c r="F556" t="s">
        <v>914</v>
      </c>
      <c r="G556" t="s">
        <v>917</v>
      </c>
      <c r="I556" t="s">
        <v>919</v>
      </c>
      <c r="J556" t="b">
        <f t="shared" si="56"/>
        <v>1</v>
      </c>
      <c r="K556" s="3">
        <f t="shared" ca="1" si="57"/>
        <v>1055</v>
      </c>
      <c r="L556" s="3">
        <f t="shared" ca="1" si="58"/>
        <v>1010</v>
      </c>
      <c r="M556" t="str">
        <f t="shared" ca="1" si="59"/>
        <v>Overdue</v>
      </c>
      <c r="N556">
        <f t="shared" si="61"/>
        <v>6667.79</v>
      </c>
      <c r="O556" t="str" cm="1">
        <f t="array" aca="1" ref="O556" ca="1">_xlfn.IFS(
L556&lt;=0,"Not Due",
L556&lt;=30,"0–30 Days",
L556&lt;=60,"31–60 Days",
L556&lt;=90,"61–90 Days",
L556&lt;=180,"91–180 Days",
L556&lt;=365,"181–365 Days",
L556&gt;365,"365+ Days (High Risk)"
)</f>
        <v>365+ Days (High Risk)</v>
      </c>
      <c r="P556">
        <f t="shared" si="62"/>
        <v>0</v>
      </c>
      <c r="Q556" s="3">
        <f t="shared" ca="1" si="60"/>
        <v>6667.79</v>
      </c>
    </row>
    <row r="557" spans="1:17" x14ac:dyDescent="0.25">
      <c r="A557" t="s">
        <v>561</v>
      </c>
      <c r="B557" t="s">
        <v>910</v>
      </c>
      <c r="C557" s="1">
        <v>45271</v>
      </c>
      <c r="D557" s="1">
        <v>45316</v>
      </c>
      <c r="E557">
        <v>939.96</v>
      </c>
      <c r="F557" t="s">
        <v>915</v>
      </c>
      <c r="G557" t="s">
        <v>918</v>
      </c>
      <c r="H557" s="1">
        <v>45316</v>
      </c>
      <c r="I557" t="s">
        <v>919</v>
      </c>
      <c r="J557" t="b">
        <f t="shared" si="56"/>
        <v>0</v>
      </c>
      <c r="K557" s="3">
        <f t="shared" ca="1" si="57"/>
        <v>45</v>
      </c>
      <c r="L557" s="3">
        <f t="shared" ca="1" si="58"/>
        <v>0</v>
      </c>
      <c r="M557" t="str">
        <f t="shared" ca="1" si="59"/>
        <v>On Time</v>
      </c>
      <c r="N557">
        <f t="shared" si="61"/>
        <v>0</v>
      </c>
      <c r="O557" t="str" cm="1">
        <f t="array" aca="1" ref="O557" ca="1">_xlfn.IFS(
L557&lt;=0,"Not Due",
L557&lt;=30,"0–30 Days",
L557&lt;=60,"31–60 Days",
L557&lt;=90,"61–90 Days",
L557&lt;=180,"91–180 Days",
L557&lt;=365,"181–365 Days",
L557&gt;365,"365+ Days (High Risk)"
)</f>
        <v>Not Due</v>
      </c>
      <c r="P557">
        <f t="shared" si="62"/>
        <v>939.96</v>
      </c>
      <c r="Q557" s="3">
        <f t="shared" ca="1" si="60"/>
        <v>0</v>
      </c>
    </row>
    <row r="558" spans="1:17" x14ac:dyDescent="0.25">
      <c r="A558" t="s">
        <v>562</v>
      </c>
      <c r="B558" t="s">
        <v>907</v>
      </c>
      <c r="C558" s="1">
        <v>45227</v>
      </c>
      <c r="D558" s="1">
        <v>45272</v>
      </c>
      <c r="E558">
        <v>3429.97</v>
      </c>
      <c r="F558" t="s">
        <v>912</v>
      </c>
      <c r="G558" t="s">
        <v>916</v>
      </c>
      <c r="I558" t="s">
        <v>919</v>
      </c>
      <c r="J558" t="b">
        <f t="shared" si="56"/>
        <v>1</v>
      </c>
      <c r="K558" s="3">
        <f t="shared" ca="1" si="57"/>
        <v>824</v>
      </c>
      <c r="L558" s="3">
        <f t="shared" ca="1" si="58"/>
        <v>779</v>
      </c>
      <c r="M558" t="str">
        <f t="shared" ca="1" si="59"/>
        <v>Overdue</v>
      </c>
      <c r="N558">
        <f t="shared" si="61"/>
        <v>3429.97</v>
      </c>
      <c r="O558" t="str" cm="1">
        <f t="array" aca="1" ref="O558" ca="1">_xlfn.IFS(
L558&lt;=0,"Not Due",
L558&lt;=30,"0–30 Days",
L558&lt;=60,"31–60 Days",
L558&lt;=90,"61–90 Days",
L558&lt;=180,"91–180 Days",
L558&lt;=365,"181–365 Days",
L558&gt;365,"365+ Days (High Risk)"
)</f>
        <v>365+ Days (High Risk)</v>
      </c>
      <c r="P558">
        <f t="shared" si="62"/>
        <v>0</v>
      </c>
      <c r="Q558" s="3">
        <f t="shared" ca="1" si="60"/>
        <v>3429.97</v>
      </c>
    </row>
    <row r="559" spans="1:17" x14ac:dyDescent="0.25">
      <c r="A559" t="s">
        <v>563</v>
      </c>
      <c r="B559" t="s">
        <v>908</v>
      </c>
      <c r="C559" s="1">
        <v>45809</v>
      </c>
      <c r="D559" s="1">
        <v>45854</v>
      </c>
      <c r="E559">
        <v>2696.48</v>
      </c>
      <c r="F559" t="s">
        <v>915</v>
      </c>
      <c r="G559" t="s">
        <v>916</v>
      </c>
      <c r="I559" t="s">
        <v>919</v>
      </c>
      <c r="J559" t="b">
        <f t="shared" si="56"/>
        <v>1</v>
      </c>
      <c r="K559" s="3">
        <f t="shared" ca="1" si="57"/>
        <v>242</v>
      </c>
      <c r="L559" s="3">
        <f t="shared" ca="1" si="58"/>
        <v>197</v>
      </c>
      <c r="M559" t="str">
        <f t="shared" ca="1" si="59"/>
        <v>Overdue</v>
      </c>
      <c r="N559">
        <f t="shared" si="61"/>
        <v>2696.48</v>
      </c>
      <c r="O559" t="str" cm="1">
        <f t="array" aca="1" ref="O559" ca="1">_xlfn.IFS(
L559&lt;=0,"Not Due",
L559&lt;=30,"0–30 Days",
L559&lt;=60,"31–60 Days",
L559&lt;=90,"61–90 Days",
L559&lt;=180,"91–180 Days",
L559&lt;=365,"181–365 Days",
L559&gt;365,"365+ Days (High Risk)"
)</f>
        <v>181–365 Days</v>
      </c>
      <c r="P559">
        <f t="shared" si="62"/>
        <v>0</v>
      </c>
      <c r="Q559" s="3">
        <f t="shared" ca="1" si="60"/>
        <v>2696.48</v>
      </c>
    </row>
    <row r="560" spans="1:17" x14ac:dyDescent="0.25">
      <c r="A560" t="s">
        <v>564</v>
      </c>
      <c r="B560" t="s">
        <v>910</v>
      </c>
      <c r="C560" s="1">
        <v>45187</v>
      </c>
      <c r="D560" s="1">
        <v>45232</v>
      </c>
      <c r="E560">
        <v>2767.09</v>
      </c>
      <c r="F560" t="s">
        <v>913</v>
      </c>
      <c r="G560" t="s">
        <v>917</v>
      </c>
      <c r="I560" t="s">
        <v>919</v>
      </c>
      <c r="J560" t="b">
        <f t="shared" si="56"/>
        <v>1</v>
      </c>
      <c r="K560" s="3">
        <f t="shared" ca="1" si="57"/>
        <v>864</v>
      </c>
      <c r="L560" s="3">
        <f t="shared" ca="1" si="58"/>
        <v>819</v>
      </c>
      <c r="M560" t="str">
        <f t="shared" ca="1" si="59"/>
        <v>Overdue</v>
      </c>
      <c r="N560">
        <f t="shared" si="61"/>
        <v>2767.09</v>
      </c>
      <c r="O560" t="str" cm="1">
        <f t="array" aca="1" ref="O560" ca="1">_xlfn.IFS(
L560&lt;=0,"Not Due",
L560&lt;=30,"0–30 Days",
L560&lt;=60,"31–60 Days",
L560&lt;=90,"61–90 Days",
L560&lt;=180,"91–180 Days",
L560&lt;=365,"181–365 Days",
L560&gt;365,"365+ Days (High Risk)"
)</f>
        <v>365+ Days (High Risk)</v>
      </c>
      <c r="P560">
        <f t="shared" si="62"/>
        <v>0</v>
      </c>
      <c r="Q560" s="3">
        <f t="shared" ca="1" si="60"/>
        <v>2767.09</v>
      </c>
    </row>
    <row r="561" spans="1:17" x14ac:dyDescent="0.25">
      <c r="A561" t="s">
        <v>565</v>
      </c>
      <c r="B561" t="s">
        <v>910</v>
      </c>
      <c r="C561" s="1">
        <v>45038</v>
      </c>
      <c r="D561" s="1">
        <v>45083</v>
      </c>
      <c r="E561">
        <v>7836.25</v>
      </c>
      <c r="F561" t="s">
        <v>914</v>
      </c>
      <c r="G561" t="s">
        <v>918</v>
      </c>
      <c r="H561" s="1">
        <v>45083</v>
      </c>
      <c r="I561" t="s">
        <v>919</v>
      </c>
      <c r="J561" t="b">
        <f t="shared" si="56"/>
        <v>0</v>
      </c>
      <c r="K561" s="3">
        <f t="shared" ca="1" si="57"/>
        <v>45</v>
      </c>
      <c r="L561" s="3">
        <f t="shared" ca="1" si="58"/>
        <v>0</v>
      </c>
      <c r="M561" t="str">
        <f t="shared" ca="1" si="59"/>
        <v>On Time</v>
      </c>
      <c r="N561">
        <f t="shared" si="61"/>
        <v>0</v>
      </c>
      <c r="O561" t="str" cm="1">
        <f t="array" aca="1" ref="O561" ca="1">_xlfn.IFS(
L561&lt;=0,"Not Due",
L561&lt;=30,"0–30 Days",
L561&lt;=60,"31–60 Days",
L561&lt;=90,"61–90 Days",
L561&lt;=180,"91–180 Days",
L561&lt;=365,"181–365 Days",
L561&gt;365,"365+ Days (High Risk)"
)</f>
        <v>Not Due</v>
      </c>
      <c r="P561">
        <f t="shared" si="62"/>
        <v>7836.25</v>
      </c>
      <c r="Q561" s="3">
        <f t="shared" ca="1" si="60"/>
        <v>0</v>
      </c>
    </row>
    <row r="562" spans="1:17" x14ac:dyDescent="0.25">
      <c r="A562" t="s">
        <v>566</v>
      </c>
      <c r="B562" t="s">
        <v>908</v>
      </c>
      <c r="C562" s="1">
        <v>45177</v>
      </c>
      <c r="D562" s="1">
        <v>45222</v>
      </c>
      <c r="E562">
        <v>2776.14</v>
      </c>
      <c r="F562" t="s">
        <v>912</v>
      </c>
      <c r="G562" t="s">
        <v>916</v>
      </c>
      <c r="I562" t="s">
        <v>919</v>
      </c>
      <c r="J562" t="b">
        <f t="shared" si="56"/>
        <v>1</v>
      </c>
      <c r="K562" s="3">
        <f t="shared" ca="1" si="57"/>
        <v>874</v>
      </c>
      <c r="L562" s="3">
        <f t="shared" ca="1" si="58"/>
        <v>829</v>
      </c>
      <c r="M562" t="str">
        <f t="shared" ca="1" si="59"/>
        <v>Overdue</v>
      </c>
      <c r="N562">
        <f t="shared" si="61"/>
        <v>2776.14</v>
      </c>
      <c r="O562" t="str" cm="1">
        <f t="array" aca="1" ref="O562" ca="1">_xlfn.IFS(
L562&lt;=0,"Not Due",
L562&lt;=30,"0–30 Days",
L562&lt;=60,"31–60 Days",
L562&lt;=90,"61–90 Days",
L562&lt;=180,"91–180 Days",
L562&lt;=365,"181–365 Days",
L562&gt;365,"365+ Days (High Risk)"
)</f>
        <v>365+ Days (High Risk)</v>
      </c>
      <c r="P562">
        <f t="shared" si="62"/>
        <v>0</v>
      </c>
      <c r="Q562" s="3">
        <f t="shared" ca="1" si="60"/>
        <v>2776.14</v>
      </c>
    </row>
    <row r="563" spans="1:17" x14ac:dyDescent="0.25">
      <c r="A563" t="s">
        <v>567</v>
      </c>
      <c r="B563" t="s">
        <v>908</v>
      </c>
      <c r="C563" s="1">
        <v>45197</v>
      </c>
      <c r="D563" s="1">
        <v>45242</v>
      </c>
      <c r="E563">
        <v>4256.9399999999996</v>
      </c>
      <c r="F563" t="s">
        <v>913</v>
      </c>
      <c r="G563" t="s">
        <v>917</v>
      </c>
      <c r="I563" t="s">
        <v>919</v>
      </c>
      <c r="J563" t="b">
        <f t="shared" si="56"/>
        <v>1</v>
      </c>
      <c r="K563" s="3">
        <f t="shared" ca="1" si="57"/>
        <v>854</v>
      </c>
      <c r="L563" s="3">
        <f t="shared" ca="1" si="58"/>
        <v>809</v>
      </c>
      <c r="M563" t="str">
        <f t="shared" ca="1" si="59"/>
        <v>Overdue</v>
      </c>
      <c r="N563">
        <f t="shared" si="61"/>
        <v>4256.9399999999996</v>
      </c>
      <c r="O563" t="str" cm="1">
        <f t="array" aca="1" ref="O563" ca="1">_xlfn.IFS(
L563&lt;=0,"Not Due",
L563&lt;=30,"0–30 Days",
L563&lt;=60,"31–60 Days",
L563&lt;=90,"61–90 Days",
L563&lt;=180,"91–180 Days",
L563&lt;=365,"181–365 Days",
L563&gt;365,"365+ Days (High Risk)"
)</f>
        <v>365+ Days (High Risk)</v>
      </c>
      <c r="P563">
        <f t="shared" si="62"/>
        <v>0</v>
      </c>
      <c r="Q563" s="3">
        <f t="shared" ca="1" si="60"/>
        <v>4256.9399999999996</v>
      </c>
    </row>
    <row r="564" spans="1:17" x14ac:dyDescent="0.25">
      <c r="A564" t="s">
        <v>568</v>
      </c>
      <c r="B564" t="s">
        <v>909</v>
      </c>
      <c r="C564" s="1">
        <v>44980</v>
      </c>
      <c r="D564" s="1">
        <v>45025</v>
      </c>
      <c r="E564">
        <v>7675.1</v>
      </c>
      <c r="F564" t="s">
        <v>912</v>
      </c>
      <c r="G564" t="s">
        <v>916</v>
      </c>
      <c r="I564" t="s">
        <v>919</v>
      </c>
      <c r="J564" t="b">
        <f t="shared" si="56"/>
        <v>1</v>
      </c>
      <c r="K564" s="3">
        <f t="shared" ca="1" si="57"/>
        <v>1071</v>
      </c>
      <c r="L564" s="3">
        <f t="shared" ca="1" si="58"/>
        <v>1026</v>
      </c>
      <c r="M564" t="str">
        <f t="shared" ca="1" si="59"/>
        <v>Overdue</v>
      </c>
      <c r="N564">
        <f t="shared" si="61"/>
        <v>7675.1</v>
      </c>
      <c r="O564" t="str" cm="1">
        <f t="array" aca="1" ref="O564" ca="1">_xlfn.IFS(
L564&lt;=0,"Not Due",
L564&lt;=30,"0–30 Days",
L564&lt;=60,"31–60 Days",
L564&lt;=90,"61–90 Days",
L564&lt;=180,"91–180 Days",
L564&lt;=365,"181–365 Days",
L564&gt;365,"365+ Days (High Risk)"
)</f>
        <v>365+ Days (High Risk)</v>
      </c>
      <c r="P564">
        <f t="shared" si="62"/>
        <v>0</v>
      </c>
      <c r="Q564" s="3">
        <f t="shared" ca="1" si="60"/>
        <v>7675.1</v>
      </c>
    </row>
    <row r="565" spans="1:17" x14ac:dyDescent="0.25">
      <c r="A565" t="s">
        <v>569</v>
      </c>
      <c r="B565" t="s">
        <v>908</v>
      </c>
      <c r="C565" s="1">
        <v>45324</v>
      </c>
      <c r="D565" s="1">
        <v>45369</v>
      </c>
      <c r="E565">
        <v>1561.55</v>
      </c>
      <c r="F565" t="s">
        <v>914</v>
      </c>
      <c r="G565" t="s">
        <v>916</v>
      </c>
      <c r="I565" t="s">
        <v>919</v>
      </c>
      <c r="J565" t="b">
        <f t="shared" si="56"/>
        <v>1</v>
      </c>
      <c r="K565" s="3">
        <f t="shared" ca="1" si="57"/>
        <v>727</v>
      </c>
      <c r="L565" s="3">
        <f t="shared" ca="1" si="58"/>
        <v>682</v>
      </c>
      <c r="M565" t="str">
        <f t="shared" ca="1" si="59"/>
        <v>Overdue</v>
      </c>
      <c r="N565">
        <f t="shared" si="61"/>
        <v>1561.55</v>
      </c>
      <c r="O565" t="str" cm="1">
        <f t="array" aca="1" ref="O565" ca="1">_xlfn.IFS(
L565&lt;=0,"Not Due",
L565&lt;=30,"0–30 Days",
L565&lt;=60,"31–60 Days",
L565&lt;=90,"61–90 Days",
L565&lt;=180,"91–180 Days",
L565&lt;=365,"181–365 Days",
L565&gt;365,"365+ Days (High Risk)"
)</f>
        <v>365+ Days (High Risk)</v>
      </c>
      <c r="P565">
        <f t="shared" si="62"/>
        <v>0</v>
      </c>
      <c r="Q565" s="3">
        <f t="shared" ca="1" si="60"/>
        <v>1561.55</v>
      </c>
    </row>
    <row r="566" spans="1:17" x14ac:dyDescent="0.25">
      <c r="A566" t="s">
        <v>570</v>
      </c>
      <c r="B566" t="s">
        <v>908</v>
      </c>
      <c r="C566" s="1">
        <v>45235</v>
      </c>
      <c r="D566" s="1">
        <v>45280</v>
      </c>
      <c r="E566">
        <v>3208.62</v>
      </c>
      <c r="F566" t="s">
        <v>915</v>
      </c>
      <c r="G566" t="s">
        <v>918</v>
      </c>
      <c r="H566" s="1">
        <v>45280</v>
      </c>
      <c r="I566" t="s">
        <v>919</v>
      </c>
      <c r="J566" t="b">
        <f t="shared" si="56"/>
        <v>0</v>
      </c>
      <c r="K566" s="3">
        <f t="shared" ca="1" si="57"/>
        <v>45</v>
      </c>
      <c r="L566" s="3">
        <f t="shared" ca="1" si="58"/>
        <v>0</v>
      </c>
      <c r="M566" t="str">
        <f t="shared" ca="1" si="59"/>
        <v>On Time</v>
      </c>
      <c r="N566">
        <f t="shared" si="61"/>
        <v>0</v>
      </c>
      <c r="O566" t="str" cm="1">
        <f t="array" aca="1" ref="O566" ca="1">_xlfn.IFS(
L566&lt;=0,"Not Due",
L566&lt;=30,"0–30 Days",
L566&lt;=60,"31–60 Days",
L566&lt;=90,"61–90 Days",
L566&lt;=180,"91–180 Days",
L566&lt;=365,"181–365 Days",
L566&gt;365,"365+ Days (High Risk)"
)</f>
        <v>Not Due</v>
      </c>
      <c r="P566">
        <f t="shared" si="62"/>
        <v>3208.62</v>
      </c>
      <c r="Q566" s="3">
        <f t="shared" ca="1" si="60"/>
        <v>0</v>
      </c>
    </row>
    <row r="567" spans="1:17" x14ac:dyDescent="0.25">
      <c r="A567" t="s">
        <v>571</v>
      </c>
      <c r="B567" t="s">
        <v>906</v>
      </c>
      <c r="C567" s="1">
        <v>45820</v>
      </c>
      <c r="D567" s="1">
        <v>45865</v>
      </c>
      <c r="E567">
        <v>5171.99</v>
      </c>
      <c r="F567" t="s">
        <v>913</v>
      </c>
      <c r="G567" t="s">
        <v>916</v>
      </c>
      <c r="I567" t="s">
        <v>919</v>
      </c>
      <c r="J567" t="b">
        <f t="shared" si="56"/>
        <v>1</v>
      </c>
      <c r="K567" s="3">
        <f t="shared" ca="1" si="57"/>
        <v>231</v>
      </c>
      <c r="L567" s="3">
        <f t="shared" ca="1" si="58"/>
        <v>186</v>
      </c>
      <c r="M567" t="str">
        <f t="shared" ca="1" si="59"/>
        <v>Overdue</v>
      </c>
      <c r="N567">
        <f t="shared" si="61"/>
        <v>5171.99</v>
      </c>
      <c r="O567" t="str" cm="1">
        <f t="array" aca="1" ref="O567" ca="1">_xlfn.IFS(
L567&lt;=0,"Not Due",
L567&lt;=30,"0–30 Days",
L567&lt;=60,"31–60 Days",
L567&lt;=90,"61–90 Days",
L567&lt;=180,"91–180 Days",
L567&lt;=365,"181–365 Days",
L567&gt;365,"365+ Days (High Risk)"
)</f>
        <v>181–365 Days</v>
      </c>
      <c r="P567">
        <f t="shared" si="62"/>
        <v>0</v>
      </c>
      <c r="Q567" s="3">
        <f t="shared" ca="1" si="60"/>
        <v>5171.99</v>
      </c>
    </row>
    <row r="568" spans="1:17" x14ac:dyDescent="0.25">
      <c r="A568" t="s">
        <v>572</v>
      </c>
      <c r="B568" t="s">
        <v>907</v>
      </c>
      <c r="C568" s="1">
        <v>45591</v>
      </c>
      <c r="D568" s="1">
        <v>45636</v>
      </c>
      <c r="E568">
        <v>6132.23</v>
      </c>
      <c r="F568" t="s">
        <v>914</v>
      </c>
      <c r="G568" t="s">
        <v>917</v>
      </c>
      <c r="I568" t="s">
        <v>919</v>
      </c>
      <c r="J568" t="b">
        <f t="shared" si="56"/>
        <v>1</v>
      </c>
      <c r="K568" s="3">
        <f t="shared" ca="1" si="57"/>
        <v>460</v>
      </c>
      <c r="L568" s="3">
        <f t="shared" ca="1" si="58"/>
        <v>415</v>
      </c>
      <c r="M568" t="str">
        <f t="shared" ca="1" si="59"/>
        <v>Overdue</v>
      </c>
      <c r="N568">
        <f t="shared" si="61"/>
        <v>6132.23</v>
      </c>
      <c r="O568" t="str" cm="1">
        <f t="array" aca="1" ref="O568" ca="1">_xlfn.IFS(
L568&lt;=0,"Not Due",
L568&lt;=30,"0–30 Days",
L568&lt;=60,"31–60 Days",
L568&lt;=90,"61–90 Days",
L568&lt;=180,"91–180 Days",
L568&lt;=365,"181–365 Days",
L568&gt;365,"365+ Days (High Risk)"
)</f>
        <v>365+ Days (High Risk)</v>
      </c>
      <c r="P568">
        <f t="shared" si="62"/>
        <v>0</v>
      </c>
      <c r="Q568" s="3">
        <f t="shared" ca="1" si="60"/>
        <v>6132.23</v>
      </c>
    </row>
    <row r="569" spans="1:17" x14ac:dyDescent="0.25">
      <c r="A569" t="s">
        <v>573</v>
      </c>
      <c r="B569" t="s">
        <v>910</v>
      </c>
      <c r="C569" s="1">
        <v>45114</v>
      </c>
      <c r="D569" s="1">
        <v>45159</v>
      </c>
      <c r="E569">
        <v>5228.9399999999996</v>
      </c>
      <c r="F569" t="s">
        <v>911</v>
      </c>
      <c r="G569" t="s">
        <v>916</v>
      </c>
      <c r="I569" t="s">
        <v>919</v>
      </c>
      <c r="J569" t="b">
        <f t="shared" si="56"/>
        <v>1</v>
      </c>
      <c r="K569" s="3">
        <f t="shared" ca="1" si="57"/>
        <v>937</v>
      </c>
      <c r="L569" s="3">
        <f t="shared" ca="1" si="58"/>
        <v>892</v>
      </c>
      <c r="M569" t="str">
        <f t="shared" ca="1" si="59"/>
        <v>Overdue</v>
      </c>
      <c r="N569">
        <f t="shared" si="61"/>
        <v>5228.9399999999996</v>
      </c>
      <c r="O569" t="str" cm="1">
        <f t="array" aca="1" ref="O569" ca="1">_xlfn.IFS(
L569&lt;=0,"Not Due",
L569&lt;=30,"0–30 Days",
L569&lt;=60,"31–60 Days",
L569&lt;=90,"61–90 Days",
L569&lt;=180,"91–180 Days",
L569&lt;=365,"181–365 Days",
L569&gt;365,"365+ Days (High Risk)"
)</f>
        <v>365+ Days (High Risk)</v>
      </c>
      <c r="P569">
        <f t="shared" si="62"/>
        <v>0</v>
      </c>
      <c r="Q569" s="3">
        <f t="shared" ca="1" si="60"/>
        <v>5228.9399999999996</v>
      </c>
    </row>
    <row r="570" spans="1:17" x14ac:dyDescent="0.25">
      <c r="A570" t="s">
        <v>574</v>
      </c>
      <c r="B570" t="s">
        <v>907</v>
      </c>
      <c r="C570" s="1">
        <v>45450</v>
      </c>
      <c r="D570" s="1">
        <v>45495</v>
      </c>
      <c r="E570">
        <v>2406.41</v>
      </c>
      <c r="F570" t="s">
        <v>911</v>
      </c>
      <c r="G570" t="s">
        <v>917</v>
      </c>
      <c r="I570" t="s">
        <v>919</v>
      </c>
      <c r="J570" t="b">
        <f t="shared" si="56"/>
        <v>1</v>
      </c>
      <c r="K570" s="3">
        <f t="shared" ca="1" si="57"/>
        <v>601</v>
      </c>
      <c r="L570" s="3">
        <f t="shared" ca="1" si="58"/>
        <v>556</v>
      </c>
      <c r="M570" t="str">
        <f t="shared" ca="1" si="59"/>
        <v>Overdue</v>
      </c>
      <c r="N570">
        <f t="shared" si="61"/>
        <v>2406.41</v>
      </c>
      <c r="O570" t="str" cm="1">
        <f t="array" aca="1" ref="O570" ca="1">_xlfn.IFS(
L570&lt;=0,"Not Due",
L570&lt;=30,"0–30 Days",
L570&lt;=60,"31–60 Days",
L570&lt;=90,"61–90 Days",
L570&lt;=180,"91–180 Days",
L570&lt;=365,"181–365 Days",
L570&gt;365,"365+ Days (High Risk)"
)</f>
        <v>365+ Days (High Risk)</v>
      </c>
      <c r="P570">
        <f t="shared" si="62"/>
        <v>0</v>
      </c>
      <c r="Q570" s="3">
        <f t="shared" ca="1" si="60"/>
        <v>2406.41</v>
      </c>
    </row>
    <row r="571" spans="1:17" x14ac:dyDescent="0.25">
      <c r="A571" t="s">
        <v>575</v>
      </c>
      <c r="B571" t="s">
        <v>908</v>
      </c>
      <c r="C571" s="1">
        <v>45358</v>
      </c>
      <c r="D571" s="1">
        <v>45403</v>
      </c>
      <c r="E571">
        <v>7118.9</v>
      </c>
      <c r="F571" t="s">
        <v>912</v>
      </c>
      <c r="G571" t="s">
        <v>916</v>
      </c>
      <c r="I571" t="s">
        <v>919</v>
      </c>
      <c r="J571" t="b">
        <f t="shared" si="56"/>
        <v>1</v>
      </c>
      <c r="K571" s="3">
        <f t="shared" ca="1" si="57"/>
        <v>693</v>
      </c>
      <c r="L571" s="3">
        <f t="shared" ca="1" si="58"/>
        <v>648</v>
      </c>
      <c r="M571" t="str">
        <f t="shared" ca="1" si="59"/>
        <v>Overdue</v>
      </c>
      <c r="N571">
        <f t="shared" si="61"/>
        <v>7118.9</v>
      </c>
      <c r="O571" t="str" cm="1">
        <f t="array" aca="1" ref="O571" ca="1">_xlfn.IFS(
L571&lt;=0,"Not Due",
L571&lt;=30,"0–30 Days",
L571&lt;=60,"31–60 Days",
L571&lt;=90,"61–90 Days",
L571&lt;=180,"91–180 Days",
L571&lt;=365,"181–365 Days",
L571&gt;365,"365+ Days (High Risk)"
)</f>
        <v>365+ Days (High Risk)</v>
      </c>
      <c r="P571">
        <f t="shared" si="62"/>
        <v>0</v>
      </c>
      <c r="Q571" s="3">
        <f t="shared" ca="1" si="60"/>
        <v>7118.9</v>
      </c>
    </row>
    <row r="572" spans="1:17" x14ac:dyDescent="0.25">
      <c r="A572" t="s">
        <v>576</v>
      </c>
      <c r="B572" t="s">
        <v>906</v>
      </c>
      <c r="C572" s="1">
        <v>45836</v>
      </c>
      <c r="D572" s="1">
        <v>45881</v>
      </c>
      <c r="E572">
        <v>2548.35</v>
      </c>
      <c r="F572" t="s">
        <v>914</v>
      </c>
      <c r="G572" t="s">
        <v>917</v>
      </c>
      <c r="I572" t="s">
        <v>919</v>
      </c>
      <c r="J572" t="b">
        <f t="shared" si="56"/>
        <v>1</v>
      </c>
      <c r="K572" s="3">
        <f t="shared" ca="1" si="57"/>
        <v>215</v>
      </c>
      <c r="L572" s="3">
        <f t="shared" ca="1" si="58"/>
        <v>170</v>
      </c>
      <c r="M572" t="str">
        <f t="shared" ca="1" si="59"/>
        <v>Overdue</v>
      </c>
      <c r="N572">
        <f t="shared" si="61"/>
        <v>2548.35</v>
      </c>
      <c r="O572" t="str" cm="1">
        <f t="array" aca="1" ref="O572" ca="1">_xlfn.IFS(
L572&lt;=0,"Not Due",
L572&lt;=30,"0–30 Days",
L572&lt;=60,"31–60 Days",
L572&lt;=90,"61–90 Days",
L572&lt;=180,"91–180 Days",
L572&lt;=365,"181–365 Days",
L572&gt;365,"365+ Days (High Risk)"
)</f>
        <v>91–180 Days</v>
      </c>
      <c r="P572">
        <f t="shared" si="62"/>
        <v>0</v>
      </c>
      <c r="Q572" s="3">
        <f t="shared" ca="1" si="60"/>
        <v>2548.35</v>
      </c>
    </row>
    <row r="573" spans="1:17" x14ac:dyDescent="0.25">
      <c r="A573" t="s">
        <v>577</v>
      </c>
      <c r="B573" t="s">
        <v>909</v>
      </c>
      <c r="C573" s="1">
        <v>45478</v>
      </c>
      <c r="D573" s="1">
        <v>45523</v>
      </c>
      <c r="E573">
        <v>5346.99</v>
      </c>
      <c r="F573" t="s">
        <v>913</v>
      </c>
      <c r="G573" t="s">
        <v>916</v>
      </c>
      <c r="I573" t="s">
        <v>919</v>
      </c>
      <c r="J573" t="b">
        <f t="shared" si="56"/>
        <v>1</v>
      </c>
      <c r="K573" s="3">
        <f t="shared" ca="1" si="57"/>
        <v>573</v>
      </c>
      <c r="L573" s="3">
        <f t="shared" ca="1" si="58"/>
        <v>528</v>
      </c>
      <c r="M573" t="str">
        <f t="shared" ca="1" si="59"/>
        <v>Overdue</v>
      </c>
      <c r="N573">
        <f t="shared" si="61"/>
        <v>5346.99</v>
      </c>
      <c r="O573" t="str" cm="1">
        <f t="array" aca="1" ref="O573" ca="1">_xlfn.IFS(
L573&lt;=0,"Not Due",
L573&lt;=30,"0–30 Days",
L573&lt;=60,"31–60 Days",
L573&lt;=90,"61–90 Days",
L573&lt;=180,"91–180 Days",
L573&lt;=365,"181–365 Days",
L573&gt;365,"365+ Days (High Risk)"
)</f>
        <v>365+ Days (High Risk)</v>
      </c>
      <c r="P573">
        <f t="shared" si="62"/>
        <v>0</v>
      </c>
      <c r="Q573" s="3">
        <f t="shared" ca="1" si="60"/>
        <v>5346.99</v>
      </c>
    </row>
    <row r="574" spans="1:17" x14ac:dyDescent="0.25">
      <c r="A574" t="s">
        <v>578</v>
      </c>
      <c r="B574" t="s">
        <v>910</v>
      </c>
      <c r="C574" s="1">
        <v>45385</v>
      </c>
      <c r="D574" s="1">
        <v>45430</v>
      </c>
      <c r="E574">
        <v>2614.7199999999998</v>
      </c>
      <c r="F574" t="s">
        <v>911</v>
      </c>
      <c r="G574" t="s">
        <v>918</v>
      </c>
      <c r="H574" s="1">
        <v>45430</v>
      </c>
      <c r="I574" t="s">
        <v>919</v>
      </c>
      <c r="J574" t="b">
        <f t="shared" si="56"/>
        <v>0</v>
      </c>
      <c r="K574" s="3">
        <f t="shared" ca="1" si="57"/>
        <v>45</v>
      </c>
      <c r="L574" s="3">
        <f t="shared" ca="1" si="58"/>
        <v>0</v>
      </c>
      <c r="M574" t="str">
        <f t="shared" ca="1" si="59"/>
        <v>On Time</v>
      </c>
      <c r="N574">
        <f t="shared" si="61"/>
        <v>0</v>
      </c>
      <c r="O574" t="str" cm="1">
        <f t="array" aca="1" ref="O574" ca="1">_xlfn.IFS(
L574&lt;=0,"Not Due",
L574&lt;=30,"0–30 Days",
L574&lt;=60,"31–60 Days",
L574&lt;=90,"61–90 Days",
L574&lt;=180,"91–180 Days",
L574&lt;=365,"181–365 Days",
L574&gt;365,"365+ Days (High Risk)"
)</f>
        <v>Not Due</v>
      </c>
      <c r="P574">
        <f t="shared" si="62"/>
        <v>2614.7199999999998</v>
      </c>
      <c r="Q574" s="3">
        <f t="shared" ca="1" si="60"/>
        <v>0</v>
      </c>
    </row>
    <row r="575" spans="1:17" x14ac:dyDescent="0.25">
      <c r="A575" t="s">
        <v>579</v>
      </c>
      <c r="B575" t="s">
        <v>906</v>
      </c>
      <c r="C575" s="1">
        <v>45348</v>
      </c>
      <c r="D575" s="1">
        <v>45393</v>
      </c>
      <c r="E575">
        <v>332.76</v>
      </c>
      <c r="F575" t="s">
        <v>914</v>
      </c>
      <c r="G575" t="s">
        <v>916</v>
      </c>
      <c r="I575" t="s">
        <v>919</v>
      </c>
      <c r="J575" t="b">
        <f t="shared" si="56"/>
        <v>1</v>
      </c>
      <c r="K575" s="3">
        <f t="shared" ca="1" si="57"/>
        <v>703</v>
      </c>
      <c r="L575" s="3">
        <f t="shared" ca="1" si="58"/>
        <v>658</v>
      </c>
      <c r="M575" t="str">
        <f t="shared" ca="1" si="59"/>
        <v>Overdue</v>
      </c>
      <c r="N575">
        <f t="shared" si="61"/>
        <v>332.76</v>
      </c>
      <c r="O575" t="str" cm="1">
        <f t="array" aca="1" ref="O575" ca="1">_xlfn.IFS(
L575&lt;=0,"Not Due",
L575&lt;=30,"0–30 Days",
L575&lt;=60,"31–60 Days",
L575&lt;=90,"61–90 Days",
L575&lt;=180,"91–180 Days",
L575&lt;=365,"181–365 Days",
L575&gt;365,"365+ Days (High Risk)"
)</f>
        <v>365+ Days (High Risk)</v>
      </c>
      <c r="P575">
        <f t="shared" si="62"/>
        <v>0</v>
      </c>
      <c r="Q575" s="3">
        <f t="shared" ca="1" si="60"/>
        <v>332.76</v>
      </c>
    </row>
    <row r="576" spans="1:17" x14ac:dyDescent="0.25">
      <c r="A576" t="s">
        <v>580</v>
      </c>
      <c r="B576" t="s">
        <v>906</v>
      </c>
      <c r="C576" s="1">
        <v>45364</v>
      </c>
      <c r="D576" s="1">
        <v>45409</v>
      </c>
      <c r="E576">
        <v>2362.15</v>
      </c>
      <c r="F576" t="s">
        <v>911</v>
      </c>
      <c r="G576" t="s">
        <v>918</v>
      </c>
      <c r="H576" s="1">
        <v>45409</v>
      </c>
      <c r="I576" t="s">
        <v>919</v>
      </c>
      <c r="J576" t="b">
        <f t="shared" si="56"/>
        <v>0</v>
      </c>
      <c r="K576" s="3">
        <f t="shared" ca="1" si="57"/>
        <v>45</v>
      </c>
      <c r="L576" s="3">
        <f t="shared" ca="1" si="58"/>
        <v>0</v>
      </c>
      <c r="M576" t="str">
        <f t="shared" ca="1" si="59"/>
        <v>On Time</v>
      </c>
      <c r="N576">
        <f t="shared" si="61"/>
        <v>0</v>
      </c>
      <c r="O576" t="str" cm="1">
        <f t="array" aca="1" ref="O576" ca="1">_xlfn.IFS(
L576&lt;=0,"Not Due",
L576&lt;=30,"0–30 Days",
L576&lt;=60,"31–60 Days",
L576&lt;=90,"61–90 Days",
L576&lt;=180,"91–180 Days",
L576&lt;=365,"181–365 Days",
L576&gt;365,"365+ Days (High Risk)"
)</f>
        <v>Not Due</v>
      </c>
      <c r="P576">
        <f t="shared" si="62"/>
        <v>2362.15</v>
      </c>
      <c r="Q576" s="3">
        <f t="shared" ca="1" si="60"/>
        <v>0</v>
      </c>
    </row>
    <row r="577" spans="1:17" x14ac:dyDescent="0.25">
      <c r="A577" t="s">
        <v>581</v>
      </c>
      <c r="B577" t="s">
        <v>908</v>
      </c>
      <c r="C577" s="1">
        <v>45069</v>
      </c>
      <c r="D577" s="1">
        <v>45114</v>
      </c>
      <c r="E577">
        <v>4512.25</v>
      </c>
      <c r="F577" t="s">
        <v>915</v>
      </c>
      <c r="G577" t="s">
        <v>918</v>
      </c>
      <c r="H577" s="1">
        <v>45114</v>
      </c>
      <c r="I577" t="s">
        <v>919</v>
      </c>
      <c r="J577" t="b">
        <f t="shared" si="56"/>
        <v>0</v>
      </c>
      <c r="K577" s="3">
        <f t="shared" ca="1" si="57"/>
        <v>45</v>
      </c>
      <c r="L577" s="3">
        <f t="shared" ca="1" si="58"/>
        <v>0</v>
      </c>
      <c r="M577" t="str">
        <f t="shared" ca="1" si="59"/>
        <v>On Time</v>
      </c>
      <c r="N577">
        <f t="shared" si="61"/>
        <v>0</v>
      </c>
      <c r="O577" t="str" cm="1">
        <f t="array" aca="1" ref="O577" ca="1">_xlfn.IFS(
L577&lt;=0,"Not Due",
L577&lt;=30,"0–30 Days",
L577&lt;=60,"31–60 Days",
L577&lt;=90,"61–90 Days",
L577&lt;=180,"91–180 Days",
L577&lt;=365,"181–365 Days",
L577&gt;365,"365+ Days (High Risk)"
)</f>
        <v>Not Due</v>
      </c>
      <c r="P577">
        <f t="shared" si="62"/>
        <v>4512.25</v>
      </c>
      <c r="Q577" s="3">
        <f t="shared" ca="1" si="60"/>
        <v>0</v>
      </c>
    </row>
    <row r="578" spans="1:17" x14ac:dyDescent="0.25">
      <c r="A578" t="s">
        <v>582</v>
      </c>
      <c r="B578" t="s">
        <v>908</v>
      </c>
      <c r="C578" s="1">
        <v>45460</v>
      </c>
      <c r="D578" s="1">
        <v>45505</v>
      </c>
      <c r="E578">
        <v>5745.66</v>
      </c>
      <c r="F578" t="s">
        <v>915</v>
      </c>
      <c r="G578" t="s">
        <v>918</v>
      </c>
      <c r="H578" s="1">
        <v>45505</v>
      </c>
      <c r="I578" t="s">
        <v>919</v>
      </c>
      <c r="J578" t="b">
        <f t="shared" ref="J578:J641" si="63">ISBLANK(H578)</f>
        <v>0</v>
      </c>
      <c r="K578" s="3">
        <f t="shared" ref="K578:K641" ca="1" si="64">IF(G578="Received",
IF(H578="",TODAY()-C578,H578-C578),
TODAY()-C578)</f>
        <v>45</v>
      </c>
      <c r="L578" s="3">
        <f t="shared" ref="L578:L641" ca="1" si="65">IF(N578=0,0,TODAY()-D578)</f>
        <v>0</v>
      </c>
      <c r="M578" t="str">
        <f t="shared" ref="M578:M641" ca="1" si="66">IF(L578&gt;0,"Overdue","On Time")</f>
        <v>On Time</v>
      </c>
      <c r="N578">
        <f t="shared" si="61"/>
        <v>0</v>
      </c>
      <c r="O578" t="str" cm="1">
        <f t="array" aca="1" ref="O578" ca="1">_xlfn.IFS(
L578&lt;=0,"Not Due",
L578&lt;=30,"0–30 Days",
L578&lt;=60,"31–60 Days",
L578&lt;=90,"61–90 Days",
L578&lt;=180,"91–180 Days",
L578&lt;=365,"181–365 Days",
L578&gt;365,"365+ Days (High Risk)"
)</f>
        <v>Not Due</v>
      </c>
      <c r="P578">
        <f t="shared" si="62"/>
        <v>5745.66</v>
      </c>
      <c r="Q578" s="3">
        <f t="shared" ref="Q578:Q641" ca="1" si="67">IF(L578&gt;0, N578, 0)</f>
        <v>0</v>
      </c>
    </row>
    <row r="579" spans="1:17" x14ac:dyDescent="0.25">
      <c r="A579" t="s">
        <v>583</v>
      </c>
      <c r="B579" t="s">
        <v>906</v>
      </c>
      <c r="C579" s="1">
        <v>45692</v>
      </c>
      <c r="D579" s="1">
        <v>45737</v>
      </c>
      <c r="E579">
        <v>1607</v>
      </c>
      <c r="F579" t="s">
        <v>911</v>
      </c>
      <c r="G579" t="s">
        <v>917</v>
      </c>
      <c r="I579" t="s">
        <v>919</v>
      </c>
      <c r="J579" t="b">
        <f t="shared" si="63"/>
        <v>1</v>
      </c>
      <c r="K579" s="3">
        <f t="shared" ca="1" si="64"/>
        <v>359</v>
      </c>
      <c r="L579" s="3">
        <f t="shared" ca="1" si="65"/>
        <v>314</v>
      </c>
      <c r="M579" t="str">
        <f t="shared" ca="1" si="66"/>
        <v>Overdue</v>
      </c>
      <c r="N579">
        <f t="shared" ref="N579:N642" si="68">IF(G579="Received",0,E579)</f>
        <v>1607</v>
      </c>
      <c r="O579" t="str" cm="1">
        <f t="array" aca="1" ref="O579" ca="1">_xlfn.IFS(
L579&lt;=0,"Not Due",
L579&lt;=30,"0–30 Days",
L579&lt;=60,"31–60 Days",
L579&lt;=90,"61–90 Days",
L579&lt;=180,"91–180 Days",
L579&lt;=365,"181–365 Days",
L579&gt;365,"365+ Days (High Risk)"
)</f>
        <v>181–365 Days</v>
      </c>
      <c r="P579">
        <f t="shared" ref="P579:P642" si="69">E579-N579</f>
        <v>0</v>
      </c>
      <c r="Q579" s="3">
        <f t="shared" ca="1" si="67"/>
        <v>1607</v>
      </c>
    </row>
    <row r="580" spans="1:17" x14ac:dyDescent="0.25">
      <c r="A580" t="s">
        <v>584</v>
      </c>
      <c r="B580" t="s">
        <v>907</v>
      </c>
      <c r="C580" s="1">
        <v>45806</v>
      </c>
      <c r="D580" s="1">
        <v>45851</v>
      </c>
      <c r="E580">
        <v>7427.79</v>
      </c>
      <c r="F580" t="s">
        <v>913</v>
      </c>
      <c r="G580" t="s">
        <v>918</v>
      </c>
      <c r="H580" s="1">
        <v>45851</v>
      </c>
      <c r="I580" t="s">
        <v>919</v>
      </c>
      <c r="J580" t="b">
        <f t="shared" si="63"/>
        <v>0</v>
      </c>
      <c r="K580" s="3">
        <f t="shared" ca="1" si="64"/>
        <v>45</v>
      </c>
      <c r="L580" s="3">
        <f t="shared" ca="1" si="65"/>
        <v>0</v>
      </c>
      <c r="M580" t="str">
        <f t="shared" ca="1" si="66"/>
        <v>On Time</v>
      </c>
      <c r="N580">
        <f t="shared" si="68"/>
        <v>0</v>
      </c>
      <c r="O580" t="str" cm="1">
        <f t="array" aca="1" ref="O580" ca="1">_xlfn.IFS(
L580&lt;=0,"Not Due",
L580&lt;=30,"0–30 Days",
L580&lt;=60,"31–60 Days",
L580&lt;=90,"61–90 Days",
L580&lt;=180,"91–180 Days",
L580&lt;=365,"181–365 Days",
L580&gt;365,"365+ Days (High Risk)"
)</f>
        <v>Not Due</v>
      </c>
      <c r="P580">
        <f t="shared" si="69"/>
        <v>7427.79</v>
      </c>
      <c r="Q580" s="3">
        <f t="shared" ca="1" si="67"/>
        <v>0</v>
      </c>
    </row>
    <row r="581" spans="1:17" x14ac:dyDescent="0.25">
      <c r="A581" t="s">
        <v>585</v>
      </c>
      <c r="B581" t="s">
        <v>910</v>
      </c>
      <c r="C581" s="1">
        <v>45290</v>
      </c>
      <c r="D581" s="1">
        <v>45335</v>
      </c>
      <c r="E581">
        <v>6670.94</v>
      </c>
      <c r="F581" t="s">
        <v>915</v>
      </c>
      <c r="G581" t="s">
        <v>918</v>
      </c>
      <c r="H581" s="1">
        <v>45335</v>
      </c>
      <c r="I581" t="s">
        <v>919</v>
      </c>
      <c r="J581" t="b">
        <f t="shared" si="63"/>
        <v>0</v>
      </c>
      <c r="K581" s="3">
        <f t="shared" ca="1" si="64"/>
        <v>45</v>
      </c>
      <c r="L581" s="3">
        <f t="shared" ca="1" si="65"/>
        <v>0</v>
      </c>
      <c r="M581" t="str">
        <f t="shared" ca="1" si="66"/>
        <v>On Time</v>
      </c>
      <c r="N581">
        <f t="shared" si="68"/>
        <v>0</v>
      </c>
      <c r="O581" t="str" cm="1">
        <f t="array" aca="1" ref="O581" ca="1">_xlfn.IFS(
L581&lt;=0,"Not Due",
L581&lt;=30,"0–30 Days",
L581&lt;=60,"31–60 Days",
L581&lt;=90,"61–90 Days",
L581&lt;=180,"91–180 Days",
L581&lt;=365,"181–365 Days",
L581&gt;365,"365+ Days (High Risk)"
)</f>
        <v>Not Due</v>
      </c>
      <c r="P581">
        <f t="shared" si="69"/>
        <v>6670.94</v>
      </c>
      <c r="Q581" s="3">
        <f t="shared" ca="1" si="67"/>
        <v>0</v>
      </c>
    </row>
    <row r="582" spans="1:17" x14ac:dyDescent="0.25">
      <c r="A582" t="s">
        <v>586</v>
      </c>
      <c r="B582" t="s">
        <v>906</v>
      </c>
      <c r="C582" s="1">
        <v>44933</v>
      </c>
      <c r="D582" s="1">
        <v>44978</v>
      </c>
      <c r="E582">
        <v>2177.16</v>
      </c>
      <c r="F582" t="s">
        <v>911</v>
      </c>
      <c r="G582" t="s">
        <v>917</v>
      </c>
      <c r="I582" t="s">
        <v>919</v>
      </c>
      <c r="J582" t="b">
        <f t="shared" si="63"/>
        <v>1</v>
      </c>
      <c r="K582" s="3">
        <f t="shared" ca="1" si="64"/>
        <v>1118</v>
      </c>
      <c r="L582" s="3">
        <f t="shared" ca="1" si="65"/>
        <v>1073</v>
      </c>
      <c r="M582" t="str">
        <f t="shared" ca="1" si="66"/>
        <v>Overdue</v>
      </c>
      <c r="N582">
        <f t="shared" si="68"/>
        <v>2177.16</v>
      </c>
      <c r="O582" t="str" cm="1">
        <f t="array" aca="1" ref="O582" ca="1">_xlfn.IFS(
L582&lt;=0,"Not Due",
L582&lt;=30,"0–30 Days",
L582&lt;=60,"31–60 Days",
L582&lt;=90,"61–90 Days",
L582&lt;=180,"91–180 Days",
L582&lt;=365,"181–365 Days",
L582&gt;365,"365+ Days (High Risk)"
)</f>
        <v>365+ Days (High Risk)</v>
      </c>
      <c r="P582">
        <f t="shared" si="69"/>
        <v>0</v>
      </c>
      <c r="Q582" s="3">
        <f t="shared" ca="1" si="67"/>
        <v>2177.16</v>
      </c>
    </row>
    <row r="583" spans="1:17" x14ac:dyDescent="0.25">
      <c r="A583" t="s">
        <v>587</v>
      </c>
      <c r="B583" t="s">
        <v>909</v>
      </c>
      <c r="C583" s="1">
        <v>45143</v>
      </c>
      <c r="D583" s="1">
        <v>45188</v>
      </c>
      <c r="E583">
        <v>5300.97</v>
      </c>
      <c r="F583" t="s">
        <v>911</v>
      </c>
      <c r="G583" t="s">
        <v>918</v>
      </c>
      <c r="H583" s="1">
        <v>45188</v>
      </c>
      <c r="I583" t="s">
        <v>919</v>
      </c>
      <c r="J583" t="b">
        <f t="shared" si="63"/>
        <v>0</v>
      </c>
      <c r="K583" s="3">
        <f t="shared" ca="1" si="64"/>
        <v>45</v>
      </c>
      <c r="L583" s="3">
        <f t="shared" ca="1" si="65"/>
        <v>0</v>
      </c>
      <c r="M583" t="str">
        <f t="shared" ca="1" si="66"/>
        <v>On Time</v>
      </c>
      <c r="N583">
        <f t="shared" si="68"/>
        <v>0</v>
      </c>
      <c r="O583" t="str" cm="1">
        <f t="array" aca="1" ref="O583" ca="1">_xlfn.IFS(
L583&lt;=0,"Not Due",
L583&lt;=30,"0–30 Days",
L583&lt;=60,"31–60 Days",
L583&lt;=90,"61–90 Days",
L583&lt;=180,"91–180 Days",
L583&lt;=365,"181–365 Days",
L583&gt;365,"365+ Days (High Risk)"
)</f>
        <v>Not Due</v>
      </c>
      <c r="P583">
        <f t="shared" si="69"/>
        <v>5300.97</v>
      </c>
      <c r="Q583" s="3">
        <f t="shared" ca="1" si="67"/>
        <v>0</v>
      </c>
    </row>
    <row r="584" spans="1:17" x14ac:dyDescent="0.25">
      <c r="A584" t="s">
        <v>588</v>
      </c>
      <c r="B584" t="s">
        <v>908</v>
      </c>
      <c r="C584" s="1">
        <v>45761</v>
      </c>
      <c r="D584" s="1">
        <v>45806</v>
      </c>
      <c r="E584">
        <v>1242.32</v>
      </c>
      <c r="F584" t="s">
        <v>913</v>
      </c>
      <c r="G584" t="s">
        <v>916</v>
      </c>
      <c r="I584" t="s">
        <v>919</v>
      </c>
      <c r="J584" t="b">
        <f t="shared" si="63"/>
        <v>1</v>
      </c>
      <c r="K584" s="3">
        <f t="shared" ca="1" si="64"/>
        <v>290</v>
      </c>
      <c r="L584" s="3">
        <f t="shared" ca="1" si="65"/>
        <v>245</v>
      </c>
      <c r="M584" t="str">
        <f t="shared" ca="1" si="66"/>
        <v>Overdue</v>
      </c>
      <c r="N584">
        <f t="shared" si="68"/>
        <v>1242.32</v>
      </c>
      <c r="O584" t="str" cm="1">
        <f t="array" aca="1" ref="O584" ca="1">_xlfn.IFS(
L584&lt;=0,"Not Due",
L584&lt;=30,"0–30 Days",
L584&lt;=60,"31–60 Days",
L584&lt;=90,"61–90 Days",
L584&lt;=180,"91–180 Days",
L584&lt;=365,"181–365 Days",
L584&gt;365,"365+ Days (High Risk)"
)</f>
        <v>181–365 Days</v>
      </c>
      <c r="P584">
        <f t="shared" si="69"/>
        <v>0</v>
      </c>
      <c r="Q584" s="3">
        <f t="shared" ca="1" si="67"/>
        <v>1242.32</v>
      </c>
    </row>
    <row r="585" spans="1:17" x14ac:dyDescent="0.25">
      <c r="A585" t="s">
        <v>589</v>
      </c>
      <c r="B585" t="s">
        <v>908</v>
      </c>
      <c r="C585" s="1">
        <v>45676</v>
      </c>
      <c r="D585" s="1">
        <v>45721</v>
      </c>
      <c r="E585">
        <v>4115.6400000000003</v>
      </c>
      <c r="F585" t="s">
        <v>914</v>
      </c>
      <c r="G585" t="s">
        <v>917</v>
      </c>
      <c r="I585" t="s">
        <v>919</v>
      </c>
      <c r="J585" t="b">
        <f t="shared" si="63"/>
        <v>1</v>
      </c>
      <c r="K585" s="3">
        <f t="shared" ca="1" si="64"/>
        <v>375</v>
      </c>
      <c r="L585" s="3">
        <f t="shared" ca="1" si="65"/>
        <v>330</v>
      </c>
      <c r="M585" t="str">
        <f t="shared" ca="1" si="66"/>
        <v>Overdue</v>
      </c>
      <c r="N585">
        <f t="shared" si="68"/>
        <v>4115.6400000000003</v>
      </c>
      <c r="O585" t="str" cm="1">
        <f t="array" aca="1" ref="O585" ca="1">_xlfn.IFS(
L585&lt;=0,"Not Due",
L585&lt;=30,"0–30 Days",
L585&lt;=60,"31–60 Days",
L585&lt;=90,"61–90 Days",
L585&lt;=180,"91–180 Days",
L585&lt;=365,"181–365 Days",
L585&gt;365,"365+ Days (High Risk)"
)</f>
        <v>181–365 Days</v>
      </c>
      <c r="P585">
        <f t="shared" si="69"/>
        <v>0</v>
      </c>
      <c r="Q585" s="3">
        <f t="shared" ca="1" si="67"/>
        <v>4115.6400000000003</v>
      </c>
    </row>
    <row r="586" spans="1:17" x14ac:dyDescent="0.25">
      <c r="A586" t="s">
        <v>590</v>
      </c>
      <c r="B586" t="s">
        <v>907</v>
      </c>
      <c r="C586" s="1">
        <v>45605</v>
      </c>
      <c r="D586" s="1">
        <v>45650</v>
      </c>
      <c r="E586">
        <v>7260.77</v>
      </c>
      <c r="F586" t="s">
        <v>911</v>
      </c>
      <c r="G586" t="s">
        <v>916</v>
      </c>
      <c r="I586" t="s">
        <v>919</v>
      </c>
      <c r="J586" t="b">
        <f t="shared" si="63"/>
        <v>1</v>
      </c>
      <c r="K586" s="3">
        <f t="shared" ca="1" si="64"/>
        <v>446</v>
      </c>
      <c r="L586" s="3">
        <f t="shared" ca="1" si="65"/>
        <v>401</v>
      </c>
      <c r="M586" t="str">
        <f t="shared" ca="1" si="66"/>
        <v>Overdue</v>
      </c>
      <c r="N586">
        <f t="shared" si="68"/>
        <v>7260.77</v>
      </c>
      <c r="O586" t="str" cm="1">
        <f t="array" aca="1" ref="O586" ca="1">_xlfn.IFS(
L586&lt;=0,"Not Due",
L586&lt;=30,"0–30 Days",
L586&lt;=60,"31–60 Days",
L586&lt;=90,"61–90 Days",
L586&lt;=180,"91–180 Days",
L586&lt;=365,"181–365 Days",
L586&gt;365,"365+ Days (High Risk)"
)</f>
        <v>365+ Days (High Risk)</v>
      </c>
      <c r="P586">
        <f t="shared" si="69"/>
        <v>0</v>
      </c>
      <c r="Q586" s="3">
        <f t="shared" ca="1" si="67"/>
        <v>7260.77</v>
      </c>
    </row>
    <row r="587" spans="1:17" x14ac:dyDescent="0.25">
      <c r="A587" t="s">
        <v>591</v>
      </c>
      <c r="B587" t="s">
        <v>906</v>
      </c>
      <c r="C587" s="1">
        <v>45440</v>
      </c>
      <c r="D587" s="1">
        <v>45485</v>
      </c>
      <c r="E587">
        <v>3015.47</v>
      </c>
      <c r="F587" t="s">
        <v>914</v>
      </c>
      <c r="G587" t="s">
        <v>918</v>
      </c>
      <c r="H587" s="1">
        <v>45485</v>
      </c>
      <c r="I587" t="s">
        <v>919</v>
      </c>
      <c r="J587" t="b">
        <f t="shared" si="63"/>
        <v>0</v>
      </c>
      <c r="K587" s="3">
        <f t="shared" ca="1" si="64"/>
        <v>45</v>
      </c>
      <c r="L587" s="3">
        <f t="shared" ca="1" si="65"/>
        <v>0</v>
      </c>
      <c r="M587" t="str">
        <f t="shared" ca="1" si="66"/>
        <v>On Time</v>
      </c>
      <c r="N587">
        <f t="shared" si="68"/>
        <v>0</v>
      </c>
      <c r="O587" t="str" cm="1">
        <f t="array" aca="1" ref="O587" ca="1">_xlfn.IFS(
L587&lt;=0,"Not Due",
L587&lt;=30,"0–30 Days",
L587&lt;=60,"31–60 Days",
L587&lt;=90,"61–90 Days",
L587&lt;=180,"91–180 Days",
L587&lt;=365,"181–365 Days",
L587&gt;365,"365+ Days (High Risk)"
)</f>
        <v>Not Due</v>
      </c>
      <c r="P587">
        <f t="shared" si="69"/>
        <v>3015.47</v>
      </c>
      <c r="Q587" s="3">
        <f t="shared" ca="1" si="67"/>
        <v>0</v>
      </c>
    </row>
    <row r="588" spans="1:17" x14ac:dyDescent="0.25">
      <c r="A588" t="s">
        <v>592</v>
      </c>
      <c r="B588" t="s">
        <v>910</v>
      </c>
      <c r="C588" s="1">
        <v>44968</v>
      </c>
      <c r="D588" s="1">
        <v>45013</v>
      </c>
      <c r="E588">
        <v>6294.93</v>
      </c>
      <c r="F588" t="s">
        <v>912</v>
      </c>
      <c r="G588" t="s">
        <v>916</v>
      </c>
      <c r="I588" t="s">
        <v>919</v>
      </c>
      <c r="J588" t="b">
        <f t="shared" si="63"/>
        <v>1</v>
      </c>
      <c r="K588" s="3">
        <f t="shared" ca="1" si="64"/>
        <v>1083</v>
      </c>
      <c r="L588" s="3">
        <f t="shared" ca="1" si="65"/>
        <v>1038</v>
      </c>
      <c r="M588" t="str">
        <f t="shared" ca="1" si="66"/>
        <v>Overdue</v>
      </c>
      <c r="N588">
        <f t="shared" si="68"/>
        <v>6294.93</v>
      </c>
      <c r="O588" t="str" cm="1">
        <f t="array" aca="1" ref="O588" ca="1">_xlfn.IFS(
L588&lt;=0,"Not Due",
L588&lt;=30,"0–30 Days",
L588&lt;=60,"31–60 Days",
L588&lt;=90,"61–90 Days",
L588&lt;=180,"91–180 Days",
L588&lt;=365,"181–365 Days",
L588&gt;365,"365+ Days (High Risk)"
)</f>
        <v>365+ Days (High Risk)</v>
      </c>
      <c r="P588">
        <f t="shared" si="69"/>
        <v>0</v>
      </c>
      <c r="Q588" s="3">
        <f t="shared" ca="1" si="67"/>
        <v>6294.93</v>
      </c>
    </row>
    <row r="589" spans="1:17" x14ac:dyDescent="0.25">
      <c r="A589" t="s">
        <v>593</v>
      </c>
      <c r="B589" t="s">
        <v>907</v>
      </c>
      <c r="C589" s="1">
        <v>45253</v>
      </c>
      <c r="D589" s="1">
        <v>45298</v>
      </c>
      <c r="E589">
        <v>4468.68</v>
      </c>
      <c r="F589" t="s">
        <v>913</v>
      </c>
      <c r="G589" t="s">
        <v>917</v>
      </c>
      <c r="I589" t="s">
        <v>919</v>
      </c>
      <c r="J589" t="b">
        <f t="shared" si="63"/>
        <v>1</v>
      </c>
      <c r="K589" s="3">
        <f t="shared" ca="1" si="64"/>
        <v>798</v>
      </c>
      <c r="L589" s="3">
        <f t="shared" ca="1" si="65"/>
        <v>753</v>
      </c>
      <c r="M589" t="str">
        <f t="shared" ca="1" si="66"/>
        <v>Overdue</v>
      </c>
      <c r="N589">
        <f t="shared" si="68"/>
        <v>4468.68</v>
      </c>
      <c r="O589" t="str" cm="1">
        <f t="array" aca="1" ref="O589" ca="1">_xlfn.IFS(
L589&lt;=0,"Not Due",
L589&lt;=30,"0–30 Days",
L589&lt;=60,"31–60 Days",
L589&lt;=90,"61–90 Days",
L589&lt;=180,"91–180 Days",
L589&lt;=365,"181–365 Days",
L589&gt;365,"365+ Days (High Risk)"
)</f>
        <v>365+ Days (High Risk)</v>
      </c>
      <c r="P589">
        <f t="shared" si="69"/>
        <v>0</v>
      </c>
      <c r="Q589" s="3">
        <f t="shared" ca="1" si="67"/>
        <v>4468.68</v>
      </c>
    </row>
    <row r="590" spans="1:17" x14ac:dyDescent="0.25">
      <c r="A590" t="s">
        <v>594</v>
      </c>
      <c r="B590" t="s">
        <v>907</v>
      </c>
      <c r="C590" s="1">
        <v>45223</v>
      </c>
      <c r="D590" s="1">
        <v>45268</v>
      </c>
      <c r="E590">
        <v>240.09</v>
      </c>
      <c r="F590" t="s">
        <v>913</v>
      </c>
      <c r="G590" t="s">
        <v>917</v>
      </c>
      <c r="I590" t="s">
        <v>919</v>
      </c>
      <c r="J590" t="b">
        <f t="shared" si="63"/>
        <v>1</v>
      </c>
      <c r="K590" s="3">
        <f t="shared" ca="1" si="64"/>
        <v>828</v>
      </c>
      <c r="L590" s="3">
        <f t="shared" ca="1" si="65"/>
        <v>783</v>
      </c>
      <c r="M590" t="str">
        <f t="shared" ca="1" si="66"/>
        <v>Overdue</v>
      </c>
      <c r="N590">
        <f t="shared" si="68"/>
        <v>240.09</v>
      </c>
      <c r="O590" t="str" cm="1">
        <f t="array" aca="1" ref="O590" ca="1">_xlfn.IFS(
L590&lt;=0,"Not Due",
L590&lt;=30,"0–30 Days",
L590&lt;=60,"31–60 Days",
L590&lt;=90,"61–90 Days",
L590&lt;=180,"91–180 Days",
L590&lt;=365,"181–365 Days",
L590&gt;365,"365+ Days (High Risk)"
)</f>
        <v>365+ Days (High Risk)</v>
      </c>
      <c r="P590">
        <f t="shared" si="69"/>
        <v>0</v>
      </c>
      <c r="Q590" s="3">
        <f t="shared" ca="1" si="67"/>
        <v>240.09</v>
      </c>
    </row>
    <row r="591" spans="1:17" x14ac:dyDescent="0.25">
      <c r="A591" t="s">
        <v>595</v>
      </c>
      <c r="B591" t="s">
        <v>909</v>
      </c>
      <c r="C591" s="1">
        <v>45803</v>
      </c>
      <c r="D591" s="1">
        <v>45848</v>
      </c>
      <c r="E591">
        <v>7050.65</v>
      </c>
      <c r="F591" t="s">
        <v>915</v>
      </c>
      <c r="G591" t="s">
        <v>918</v>
      </c>
      <c r="H591" s="1">
        <v>45848</v>
      </c>
      <c r="I591" t="s">
        <v>919</v>
      </c>
      <c r="J591" t="b">
        <f t="shared" si="63"/>
        <v>0</v>
      </c>
      <c r="K591" s="3">
        <f t="shared" ca="1" si="64"/>
        <v>45</v>
      </c>
      <c r="L591" s="3">
        <f t="shared" ca="1" si="65"/>
        <v>0</v>
      </c>
      <c r="M591" t="str">
        <f t="shared" ca="1" si="66"/>
        <v>On Time</v>
      </c>
      <c r="N591">
        <f t="shared" si="68"/>
        <v>0</v>
      </c>
      <c r="O591" t="str" cm="1">
        <f t="array" aca="1" ref="O591" ca="1">_xlfn.IFS(
L591&lt;=0,"Not Due",
L591&lt;=30,"0–30 Days",
L591&lt;=60,"31–60 Days",
L591&lt;=90,"61–90 Days",
L591&lt;=180,"91–180 Days",
L591&lt;=365,"181–365 Days",
L591&gt;365,"365+ Days (High Risk)"
)</f>
        <v>Not Due</v>
      </c>
      <c r="P591">
        <f t="shared" si="69"/>
        <v>7050.65</v>
      </c>
      <c r="Q591" s="3">
        <f t="shared" ca="1" si="67"/>
        <v>0</v>
      </c>
    </row>
    <row r="592" spans="1:17" x14ac:dyDescent="0.25">
      <c r="A592" t="s">
        <v>596</v>
      </c>
      <c r="B592" t="s">
        <v>908</v>
      </c>
      <c r="C592" s="1">
        <v>45680</v>
      </c>
      <c r="D592" s="1">
        <v>45725</v>
      </c>
      <c r="E592">
        <v>4117.13</v>
      </c>
      <c r="F592" t="s">
        <v>914</v>
      </c>
      <c r="G592" t="s">
        <v>918</v>
      </c>
      <c r="H592" s="1">
        <v>45725</v>
      </c>
      <c r="I592" t="s">
        <v>919</v>
      </c>
      <c r="J592" t="b">
        <f t="shared" si="63"/>
        <v>0</v>
      </c>
      <c r="K592" s="3">
        <f t="shared" ca="1" si="64"/>
        <v>45</v>
      </c>
      <c r="L592" s="3">
        <f t="shared" ca="1" si="65"/>
        <v>0</v>
      </c>
      <c r="M592" t="str">
        <f t="shared" ca="1" si="66"/>
        <v>On Time</v>
      </c>
      <c r="N592">
        <f t="shared" si="68"/>
        <v>0</v>
      </c>
      <c r="O592" t="str" cm="1">
        <f t="array" aca="1" ref="O592" ca="1">_xlfn.IFS(
L592&lt;=0,"Not Due",
L592&lt;=30,"0–30 Days",
L592&lt;=60,"31–60 Days",
L592&lt;=90,"61–90 Days",
L592&lt;=180,"91–180 Days",
L592&lt;=365,"181–365 Days",
L592&gt;365,"365+ Days (High Risk)"
)</f>
        <v>Not Due</v>
      </c>
      <c r="P592">
        <f t="shared" si="69"/>
        <v>4117.13</v>
      </c>
      <c r="Q592" s="3">
        <f t="shared" ca="1" si="67"/>
        <v>0</v>
      </c>
    </row>
    <row r="593" spans="1:17" x14ac:dyDescent="0.25">
      <c r="A593" t="s">
        <v>597</v>
      </c>
      <c r="B593" t="s">
        <v>908</v>
      </c>
      <c r="C593" s="1">
        <v>45430</v>
      </c>
      <c r="D593" s="1">
        <v>45475</v>
      </c>
      <c r="E593">
        <v>2054.09</v>
      </c>
      <c r="F593" t="s">
        <v>915</v>
      </c>
      <c r="G593" t="s">
        <v>918</v>
      </c>
      <c r="H593" s="1">
        <v>45475</v>
      </c>
      <c r="I593" t="s">
        <v>919</v>
      </c>
      <c r="J593" t="b">
        <f t="shared" si="63"/>
        <v>0</v>
      </c>
      <c r="K593" s="3">
        <f t="shared" ca="1" si="64"/>
        <v>45</v>
      </c>
      <c r="L593" s="3">
        <f t="shared" ca="1" si="65"/>
        <v>0</v>
      </c>
      <c r="M593" t="str">
        <f t="shared" ca="1" si="66"/>
        <v>On Time</v>
      </c>
      <c r="N593">
        <f t="shared" si="68"/>
        <v>0</v>
      </c>
      <c r="O593" t="str" cm="1">
        <f t="array" aca="1" ref="O593" ca="1">_xlfn.IFS(
L593&lt;=0,"Not Due",
L593&lt;=30,"0–30 Days",
L593&lt;=60,"31–60 Days",
L593&lt;=90,"61–90 Days",
L593&lt;=180,"91–180 Days",
L593&lt;=365,"181–365 Days",
L593&gt;365,"365+ Days (High Risk)"
)</f>
        <v>Not Due</v>
      </c>
      <c r="P593">
        <f t="shared" si="69"/>
        <v>2054.09</v>
      </c>
      <c r="Q593" s="3">
        <f t="shared" ca="1" si="67"/>
        <v>0</v>
      </c>
    </row>
    <row r="594" spans="1:17" x14ac:dyDescent="0.25">
      <c r="A594" t="s">
        <v>598</v>
      </c>
      <c r="B594" t="s">
        <v>907</v>
      </c>
      <c r="C594" s="1">
        <v>45510</v>
      </c>
      <c r="D594" s="1">
        <v>45555</v>
      </c>
      <c r="E594">
        <v>5527.3</v>
      </c>
      <c r="F594" t="s">
        <v>912</v>
      </c>
      <c r="G594" t="s">
        <v>917</v>
      </c>
      <c r="I594" t="s">
        <v>919</v>
      </c>
      <c r="J594" t="b">
        <f t="shared" si="63"/>
        <v>1</v>
      </c>
      <c r="K594" s="3">
        <f t="shared" ca="1" si="64"/>
        <v>541</v>
      </c>
      <c r="L594" s="3">
        <f t="shared" ca="1" si="65"/>
        <v>496</v>
      </c>
      <c r="M594" t="str">
        <f t="shared" ca="1" si="66"/>
        <v>Overdue</v>
      </c>
      <c r="N594">
        <f t="shared" si="68"/>
        <v>5527.3</v>
      </c>
      <c r="O594" t="str" cm="1">
        <f t="array" aca="1" ref="O594" ca="1">_xlfn.IFS(
L594&lt;=0,"Not Due",
L594&lt;=30,"0–30 Days",
L594&lt;=60,"31–60 Days",
L594&lt;=90,"61–90 Days",
L594&lt;=180,"91–180 Days",
L594&lt;=365,"181–365 Days",
L594&gt;365,"365+ Days (High Risk)"
)</f>
        <v>365+ Days (High Risk)</v>
      </c>
      <c r="P594">
        <f t="shared" si="69"/>
        <v>0</v>
      </c>
      <c r="Q594" s="3">
        <f t="shared" ca="1" si="67"/>
        <v>5527.3</v>
      </c>
    </row>
    <row r="595" spans="1:17" x14ac:dyDescent="0.25">
      <c r="A595" t="s">
        <v>599</v>
      </c>
      <c r="B595" t="s">
        <v>908</v>
      </c>
      <c r="C595" s="1">
        <v>45617</v>
      </c>
      <c r="D595" s="1">
        <v>45662</v>
      </c>
      <c r="E595">
        <v>3629.15</v>
      </c>
      <c r="F595" t="s">
        <v>913</v>
      </c>
      <c r="G595" t="s">
        <v>917</v>
      </c>
      <c r="I595" t="s">
        <v>919</v>
      </c>
      <c r="J595" t="b">
        <f t="shared" si="63"/>
        <v>1</v>
      </c>
      <c r="K595" s="3">
        <f t="shared" ca="1" si="64"/>
        <v>434</v>
      </c>
      <c r="L595" s="3">
        <f t="shared" ca="1" si="65"/>
        <v>389</v>
      </c>
      <c r="M595" t="str">
        <f t="shared" ca="1" si="66"/>
        <v>Overdue</v>
      </c>
      <c r="N595">
        <f t="shared" si="68"/>
        <v>3629.15</v>
      </c>
      <c r="O595" t="str" cm="1">
        <f t="array" aca="1" ref="O595" ca="1">_xlfn.IFS(
L595&lt;=0,"Not Due",
L595&lt;=30,"0–30 Days",
L595&lt;=60,"31–60 Days",
L595&lt;=90,"61–90 Days",
L595&lt;=180,"91–180 Days",
L595&lt;=365,"181–365 Days",
L595&gt;365,"365+ Days (High Risk)"
)</f>
        <v>365+ Days (High Risk)</v>
      </c>
      <c r="P595">
        <f t="shared" si="69"/>
        <v>0</v>
      </c>
      <c r="Q595" s="3">
        <f t="shared" ca="1" si="67"/>
        <v>3629.15</v>
      </c>
    </row>
    <row r="596" spans="1:17" x14ac:dyDescent="0.25">
      <c r="A596" t="s">
        <v>600</v>
      </c>
      <c r="B596" t="s">
        <v>909</v>
      </c>
      <c r="C596" s="1">
        <v>45168</v>
      </c>
      <c r="D596" s="1">
        <v>45213</v>
      </c>
      <c r="E596">
        <v>1194.05</v>
      </c>
      <c r="F596" t="s">
        <v>914</v>
      </c>
      <c r="G596" t="s">
        <v>916</v>
      </c>
      <c r="I596" t="s">
        <v>919</v>
      </c>
      <c r="J596" t="b">
        <f t="shared" si="63"/>
        <v>1</v>
      </c>
      <c r="K596" s="3">
        <f t="shared" ca="1" si="64"/>
        <v>883</v>
      </c>
      <c r="L596" s="3">
        <f t="shared" ca="1" si="65"/>
        <v>838</v>
      </c>
      <c r="M596" t="str">
        <f t="shared" ca="1" si="66"/>
        <v>Overdue</v>
      </c>
      <c r="N596">
        <f t="shared" si="68"/>
        <v>1194.05</v>
      </c>
      <c r="O596" t="str" cm="1">
        <f t="array" aca="1" ref="O596" ca="1">_xlfn.IFS(
L596&lt;=0,"Not Due",
L596&lt;=30,"0–30 Days",
L596&lt;=60,"31–60 Days",
L596&lt;=90,"61–90 Days",
L596&lt;=180,"91–180 Days",
L596&lt;=365,"181–365 Days",
L596&gt;365,"365+ Days (High Risk)"
)</f>
        <v>365+ Days (High Risk)</v>
      </c>
      <c r="P596">
        <f t="shared" si="69"/>
        <v>0</v>
      </c>
      <c r="Q596" s="3">
        <f t="shared" ca="1" si="67"/>
        <v>1194.05</v>
      </c>
    </row>
    <row r="597" spans="1:17" x14ac:dyDescent="0.25">
      <c r="A597" t="s">
        <v>601</v>
      </c>
      <c r="B597" t="s">
        <v>908</v>
      </c>
      <c r="C597" s="1">
        <v>45789</v>
      </c>
      <c r="D597" s="1">
        <v>45834</v>
      </c>
      <c r="E597">
        <v>1885.59</v>
      </c>
      <c r="F597" t="s">
        <v>915</v>
      </c>
      <c r="G597" t="s">
        <v>918</v>
      </c>
      <c r="H597" s="1">
        <v>45834</v>
      </c>
      <c r="I597" t="s">
        <v>919</v>
      </c>
      <c r="J597" t="b">
        <f t="shared" si="63"/>
        <v>0</v>
      </c>
      <c r="K597" s="3">
        <f t="shared" ca="1" si="64"/>
        <v>45</v>
      </c>
      <c r="L597" s="3">
        <f t="shared" ca="1" si="65"/>
        <v>0</v>
      </c>
      <c r="M597" t="str">
        <f t="shared" ca="1" si="66"/>
        <v>On Time</v>
      </c>
      <c r="N597">
        <f t="shared" si="68"/>
        <v>0</v>
      </c>
      <c r="O597" t="str" cm="1">
        <f t="array" aca="1" ref="O597" ca="1">_xlfn.IFS(
L597&lt;=0,"Not Due",
L597&lt;=30,"0–30 Days",
L597&lt;=60,"31–60 Days",
L597&lt;=90,"61–90 Days",
L597&lt;=180,"91–180 Days",
L597&lt;=365,"181–365 Days",
L597&gt;365,"365+ Days (High Risk)"
)</f>
        <v>Not Due</v>
      </c>
      <c r="P597">
        <f t="shared" si="69"/>
        <v>1885.59</v>
      </c>
      <c r="Q597" s="3">
        <f t="shared" ca="1" si="67"/>
        <v>0</v>
      </c>
    </row>
    <row r="598" spans="1:17" x14ac:dyDescent="0.25">
      <c r="A598" t="s">
        <v>602</v>
      </c>
      <c r="B598" t="s">
        <v>910</v>
      </c>
      <c r="C598" s="1">
        <v>45495</v>
      </c>
      <c r="D598" s="1">
        <v>45540</v>
      </c>
      <c r="E598">
        <v>5091.8900000000003</v>
      </c>
      <c r="F598" t="s">
        <v>911</v>
      </c>
      <c r="G598" t="s">
        <v>916</v>
      </c>
      <c r="I598" t="s">
        <v>919</v>
      </c>
      <c r="J598" t="b">
        <f t="shared" si="63"/>
        <v>1</v>
      </c>
      <c r="K598" s="3">
        <f t="shared" ca="1" si="64"/>
        <v>556</v>
      </c>
      <c r="L598" s="3">
        <f t="shared" ca="1" si="65"/>
        <v>511</v>
      </c>
      <c r="M598" t="str">
        <f t="shared" ca="1" si="66"/>
        <v>Overdue</v>
      </c>
      <c r="N598">
        <f t="shared" si="68"/>
        <v>5091.8900000000003</v>
      </c>
      <c r="O598" t="str" cm="1">
        <f t="array" aca="1" ref="O598" ca="1">_xlfn.IFS(
L598&lt;=0,"Not Due",
L598&lt;=30,"0–30 Days",
L598&lt;=60,"31–60 Days",
L598&lt;=90,"61–90 Days",
L598&lt;=180,"91–180 Days",
L598&lt;=365,"181–365 Days",
L598&gt;365,"365+ Days (High Risk)"
)</f>
        <v>365+ Days (High Risk)</v>
      </c>
      <c r="P598">
        <f t="shared" si="69"/>
        <v>0</v>
      </c>
      <c r="Q598" s="3">
        <f t="shared" ca="1" si="67"/>
        <v>5091.8900000000003</v>
      </c>
    </row>
    <row r="599" spans="1:17" x14ac:dyDescent="0.25">
      <c r="A599" t="s">
        <v>603</v>
      </c>
      <c r="B599" t="s">
        <v>908</v>
      </c>
      <c r="C599" s="1">
        <v>45512</v>
      </c>
      <c r="D599" s="1">
        <v>45557</v>
      </c>
      <c r="E599">
        <v>6072.8</v>
      </c>
      <c r="F599" t="s">
        <v>915</v>
      </c>
      <c r="G599" t="s">
        <v>917</v>
      </c>
      <c r="I599" t="s">
        <v>919</v>
      </c>
      <c r="J599" t="b">
        <f t="shared" si="63"/>
        <v>1</v>
      </c>
      <c r="K599" s="3">
        <f t="shared" ca="1" si="64"/>
        <v>539</v>
      </c>
      <c r="L599" s="3">
        <f t="shared" ca="1" si="65"/>
        <v>494</v>
      </c>
      <c r="M599" t="str">
        <f t="shared" ca="1" si="66"/>
        <v>Overdue</v>
      </c>
      <c r="N599">
        <f t="shared" si="68"/>
        <v>6072.8</v>
      </c>
      <c r="O599" t="str" cm="1">
        <f t="array" aca="1" ref="O599" ca="1">_xlfn.IFS(
L599&lt;=0,"Not Due",
L599&lt;=30,"0–30 Days",
L599&lt;=60,"31–60 Days",
L599&lt;=90,"61–90 Days",
L599&lt;=180,"91–180 Days",
L599&lt;=365,"181–365 Days",
L599&gt;365,"365+ Days (High Risk)"
)</f>
        <v>365+ Days (High Risk)</v>
      </c>
      <c r="P599">
        <f t="shared" si="69"/>
        <v>0</v>
      </c>
      <c r="Q599" s="3">
        <f t="shared" ca="1" si="67"/>
        <v>6072.8</v>
      </c>
    </row>
    <row r="600" spans="1:17" x14ac:dyDescent="0.25">
      <c r="A600" t="s">
        <v>604</v>
      </c>
      <c r="B600" t="s">
        <v>909</v>
      </c>
      <c r="C600" s="1">
        <v>45480</v>
      </c>
      <c r="D600" s="1">
        <v>45525</v>
      </c>
      <c r="E600">
        <v>4904.74</v>
      </c>
      <c r="F600" t="s">
        <v>911</v>
      </c>
      <c r="G600" t="s">
        <v>917</v>
      </c>
      <c r="I600" t="s">
        <v>919</v>
      </c>
      <c r="J600" t="b">
        <f t="shared" si="63"/>
        <v>1</v>
      </c>
      <c r="K600" s="3">
        <f t="shared" ca="1" si="64"/>
        <v>571</v>
      </c>
      <c r="L600" s="3">
        <f t="shared" ca="1" si="65"/>
        <v>526</v>
      </c>
      <c r="M600" t="str">
        <f t="shared" ca="1" si="66"/>
        <v>Overdue</v>
      </c>
      <c r="N600">
        <f t="shared" si="68"/>
        <v>4904.74</v>
      </c>
      <c r="O600" t="str" cm="1">
        <f t="array" aca="1" ref="O600" ca="1">_xlfn.IFS(
L600&lt;=0,"Not Due",
L600&lt;=30,"0–30 Days",
L600&lt;=60,"31–60 Days",
L600&lt;=90,"61–90 Days",
L600&lt;=180,"91–180 Days",
L600&lt;=365,"181–365 Days",
L600&gt;365,"365+ Days (High Risk)"
)</f>
        <v>365+ Days (High Risk)</v>
      </c>
      <c r="P600">
        <f t="shared" si="69"/>
        <v>0</v>
      </c>
      <c r="Q600" s="3">
        <f t="shared" ca="1" si="67"/>
        <v>4904.74</v>
      </c>
    </row>
    <row r="601" spans="1:17" x14ac:dyDescent="0.25">
      <c r="A601" t="s">
        <v>605</v>
      </c>
      <c r="B601" t="s">
        <v>907</v>
      </c>
      <c r="C601" s="1">
        <v>45123</v>
      </c>
      <c r="D601" s="1">
        <v>45168</v>
      </c>
      <c r="E601">
        <v>6631.88</v>
      </c>
      <c r="F601" t="s">
        <v>912</v>
      </c>
      <c r="G601" t="s">
        <v>918</v>
      </c>
      <c r="H601" s="1">
        <v>45168</v>
      </c>
      <c r="I601" t="s">
        <v>919</v>
      </c>
      <c r="J601" t="b">
        <f t="shared" si="63"/>
        <v>0</v>
      </c>
      <c r="K601" s="3">
        <f t="shared" ca="1" si="64"/>
        <v>45</v>
      </c>
      <c r="L601" s="3">
        <f t="shared" ca="1" si="65"/>
        <v>0</v>
      </c>
      <c r="M601" t="str">
        <f t="shared" ca="1" si="66"/>
        <v>On Time</v>
      </c>
      <c r="N601">
        <f t="shared" si="68"/>
        <v>0</v>
      </c>
      <c r="O601" t="str" cm="1">
        <f t="array" aca="1" ref="O601" ca="1">_xlfn.IFS(
L601&lt;=0,"Not Due",
L601&lt;=30,"0–30 Days",
L601&lt;=60,"31–60 Days",
L601&lt;=90,"61–90 Days",
L601&lt;=180,"91–180 Days",
L601&lt;=365,"181–365 Days",
L601&gt;365,"365+ Days (High Risk)"
)</f>
        <v>Not Due</v>
      </c>
      <c r="P601">
        <f t="shared" si="69"/>
        <v>6631.88</v>
      </c>
      <c r="Q601" s="3">
        <f t="shared" ca="1" si="67"/>
        <v>0</v>
      </c>
    </row>
    <row r="602" spans="1:17" x14ac:dyDescent="0.25">
      <c r="A602" t="s">
        <v>606</v>
      </c>
      <c r="B602" t="s">
        <v>908</v>
      </c>
      <c r="C602" s="1">
        <v>45339</v>
      </c>
      <c r="D602" s="1">
        <v>45384</v>
      </c>
      <c r="E602">
        <v>4297.46</v>
      </c>
      <c r="F602" t="s">
        <v>911</v>
      </c>
      <c r="G602" t="s">
        <v>916</v>
      </c>
      <c r="I602" t="s">
        <v>919</v>
      </c>
      <c r="J602" t="b">
        <f t="shared" si="63"/>
        <v>1</v>
      </c>
      <c r="K602" s="3">
        <f t="shared" ca="1" si="64"/>
        <v>712</v>
      </c>
      <c r="L602" s="3">
        <f t="shared" ca="1" si="65"/>
        <v>667</v>
      </c>
      <c r="M602" t="str">
        <f t="shared" ca="1" si="66"/>
        <v>Overdue</v>
      </c>
      <c r="N602">
        <f t="shared" si="68"/>
        <v>4297.46</v>
      </c>
      <c r="O602" t="str" cm="1">
        <f t="array" aca="1" ref="O602" ca="1">_xlfn.IFS(
L602&lt;=0,"Not Due",
L602&lt;=30,"0–30 Days",
L602&lt;=60,"31–60 Days",
L602&lt;=90,"61–90 Days",
L602&lt;=180,"91–180 Days",
L602&lt;=365,"181–365 Days",
L602&gt;365,"365+ Days (High Risk)"
)</f>
        <v>365+ Days (High Risk)</v>
      </c>
      <c r="P602">
        <f t="shared" si="69"/>
        <v>0</v>
      </c>
      <c r="Q602" s="3">
        <f t="shared" ca="1" si="67"/>
        <v>4297.46</v>
      </c>
    </row>
    <row r="603" spans="1:17" x14ac:dyDescent="0.25">
      <c r="A603" t="s">
        <v>607</v>
      </c>
      <c r="B603" t="s">
        <v>906</v>
      </c>
      <c r="C603" s="1">
        <v>45564</v>
      </c>
      <c r="D603" s="1">
        <v>45609</v>
      </c>
      <c r="E603">
        <v>6265.82</v>
      </c>
      <c r="F603" t="s">
        <v>911</v>
      </c>
      <c r="G603" t="s">
        <v>917</v>
      </c>
      <c r="I603" t="s">
        <v>919</v>
      </c>
      <c r="J603" t="b">
        <f t="shared" si="63"/>
        <v>1</v>
      </c>
      <c r="K603" s="3">
        <f t="shared" ca="1" si="64"/>
        <v>487</v>
      </c>
      <c r="L603" s="3">
        <f t="shared" ca="1" si="65"/>
        <v>442</v>
      </c>
      <c r="M603" t="str">
        <f t="shared" ca="1" si="66"/>
        <v>Overdue</v>
      </c>
      <c r="N603">
        <f t="shared" si="68"/>
        <v>6265.82</v>
      </c>
      <c r="O603" t="str" cm="1">
        <f t="array" aca="1" ref="O603" ca="1">_xlfn.IFS(
L603&lt;=0,"Not Due",
L603&lt;=30,"0–30 Days",
L603&lt;=60,"31–60 Days",
L603&lt;=90,"61–90 Days",
L603&lt;=180,"91–180 Days",
L603&lt;=365,"181–365 Days",
L603&gt;365,"365+ Days (High Risk)"
)</f>
        <v>365+ Days (High Risk)</v>
      </c>
      <c r="P603">
        <f t="shared" si="69"/>
        <v>0</v>
      </c>
      <c r="Q603" s="3">
        <f t="shared" ca="1" si="67"/>
        <v>6265.82</v>
      </c>
    </row>
    <row r="604" spans="1:17" x14ac:dyDescent="0.25">
      <c r="A604" t="s">
        <v>608</v>
      </c>
      <c r="B604" t="s">
        <v>909</v>
      </c>
      <c r="C604" s="1">
        <v>45353</v>
      </c>
      <c r="D604" s="1">
        <v>45398</v>
      </c>
      <c r="E604">
        <v>1336.98</v>
      </c>
      <c r="F604" t="s">
        <v>912</v>
      </c>
      <c r="G604" t="s">
        <v>918</v>
      </c>
      <c r="H604" s="1">
        <v>45398</v>
      </c>
      <c r="I604" t="s">
        <v>919</v>
      </c>
      <c r="J604" t="b">
        <f t="shared" si="63"/>
        <v>0</v>
      </c>
      <c r="K604" s="3">
        <f t="shared" ca="1" si="64"/>
        <v>45</v>
      </c>
      <c r="L604" s="3">
        <f t="shared" ca="1" si="65"/>
        <v>0</v>
      </c>
      <c r="M604" t="str">
        <f t="shared" ca="1" si="66"/>
        <v>On Time</v>
      </c>
      <c r="N604">
        <f t="shared" si="68"/>
        <v>0</v>
      </c>
      <c r="O604" t="str" cm="1">
        <f t="array" aca="1" ref="O604" ca="1">_xlfn.IFS(
L604&lt;=0,"Not Due",
L604&lt;=30,"0–30 Days",
L604&lt;=60,"31–60 Days",
L604&lt;=90,"61–90 Days",
L604&lt;=180,"91–180 Days",
L604&lt;=365,"181–365 Days",
L604&gt;365,"365+ Days (High Risk)"
)</f>
        <v>Not Due</v>
      </c>
      <c r="P604">
        <f t="shared" si="69"/>
        <v>1336.98</v>
      </c>
      <c r="Q604" s="3">
        <f t="shared" ca="1" si="67"/>
        <v>0</v>
      </c>
    </row>
    <row r="605" spans="1:17" x14ac:dyDescent="0.25">
      <c r="A605" t="s">
        <v>609</v>
      </c>
      <c r="B605" t="s">
        <v>906</v>
      </c>
      <c r="C605" s="1">
        <v>45097</v>
      </c>
      <c r="D605" s="1">
        <v>45142</v>
      </c>
      <c r="E605">
        <v>2594.04</v>
      </c>
      <c r="F605" t="s">
        <v>911</v>
      </c>
      <c r="G605" t="s">
        <v>917</v>
      </c>
      <c r="I605" t="s">
        <v>919</v>
      </c>
      <c r="J605" t="b">
        <f t="shared" si="63"/>
        <v>1</v>
      </c>
      <c r="K605" s="3">
        <f t="shared" ca="1" si="64"/>
        <v>954</v>
      </c>
      <c r="L605" s="3">
        <f t="shared" ca="1" si="65"/>
        <v>909</v>
      </c>
      <c r="M605" t="str">
        <f t="shared" ca="1" si="66"/>
        <v>Overdue</v>
      </c>
      <c r="N605">
        <f t="shared" si="68"/>
        <v>2594.04</v>
      </c>
      <c r="O605" t="str" cm="1">
        <f t="array" aca="1" ref="O605" ca="1">_xlfn.IFS(
L605&lt;=0,"Not Due",
L605&lt;=30,"0–30 Days",
L605&lt;=60,"31–60 Days",
L605&lt;=90,"61–90 Days",
L605&lt;=180,"91–180 Days",
L605&lt;=365,"181–365 Days",
L605&gt;365,"365+ Days (High Risk)"
)</f>
        <v>365+ Days (High Risk)</v>
      </c>
      <c r="P605">
        <f t="shared" si="69"/>
        <v>0</v>
      </c>
      <c r="Q605" s="3">
        <f t="shared" ca="1" si="67"/>
        <v>2594.04</v>
      </c>
    </row>
    <row r="606" spans="1:17" x14ac:dyDescent="0.25">
      <c r="A606" t="s">
        <v>610</v>
      </c>
      <c r="B606" t="s">
        <v>909</v>
      </c>
      <c r="C606" s="1">
        <v>45306</v>
      </c>
      <c r="D606" s="1">
        <v>45351</v>
      </c>
      <c r="E606">
        <v>3492.88</v>
      </c>
      <c r="F606" t="s">
        <v>913</v>
      </c>
      <c r="G606" t="s">
        <v>916</v>
      </c>
      <c r="I606" t="s">
        <v>919</v>
      </c>
      <c r="J606" t="b">
        <f t="shared" si="63"/>
        <v>1</v>
      </c>
      <c r="K606" s="3">
        <f t="shared" ca="1" si="64"/>
        <v>745</v>
      </c>
      <c r="L606" s="3">
        <f t="shared" ca="1" si="65"/>
        <v>700</v>
      </c>
      <c r="M606" t="str">
        <f t="shared" ca="1" si="66"/>
        <v>Overdue</v>
      </c>
      <c r="N606">
        <f t="shared" si="68"/>
        <v>3492.88</v>
      </c>
      <c r="O606" t="str" cm="1">
        <f t="array" aca="1" ref="O606" ca="1">_xlfn.IFS(
L606&lt;=0,"Not Due",
L606&lt;=30,"0–30 Days",
L606&lt;=60,"31–60 Days",
L606&lt;=90,"61–90 Days",
L606&lt;=180,"91–180 Days",
L606&lt;=365,"181–365 Days",
L606&gt;365,"365+ Days (High Risk)"
)</f>
        <v>365+ Days (High Risk)</v>
      </c>
      <c r="P606">
        <f t="shared" si="69"/>
        <v>0</v>
      </c>
      <c r="Q606" s="3">
        <f t="shared" ca="1" si="67"/>
        <v>3492.88</v>
      </c>
    </row>
    <row r="607" spans="1:17" x14ac:dyDescent="0.25">
      <c r="A607" t="s">
        <v>611</v>
      </c>
      <c r="B607" t="s">
        <v>906</v>
      </c>
      <c r="C607" s="1">
        <v>45778</v>
      </c>
      <c r="D607" s="1">
        <v>45823</v>
      </c>
      <c r="E607">
        <v>6733.21</v>
      </c>
      <c r="F607" t="s">
        <v>912</v>
      </c>
      <c r="G607" t="s">
        <v>916</v>
      </c>
      <c r="I607" t="s">
        <v>919</v>
      </c>
      <c r="J607" t="b">
        <f t="shared" si="63"/>
        <v>1</v>
      </c>
      <c r="K607" s="3">
        <f t="shared" ca="1" si="64"/>
        <v>273</v>
      </c>
      <c r="L607" s="3">
        <f t="shared" ca="1" si="65"/>
        <v>228</v>
      </c>
      <c r="M607" t="str">
        <f t="shared" ca="1" si="66"/>
        <v>Overdue</v>
      </c>
      <c r="N607">
        <f t="shared" si="68"/>
        <v>6733.21</v>
      </c>
      <c r="O607" t="str" cm="1">
        <f t="array" aca="1" ref="O607" ca="1">_xlfn.IFS(
L607&lt;=0,"Not Due",
L607&lt;=30,"0–30 Days",
L607&lt;=60,"31–60 Days",
L607&lt;=90,"61–90 Days",
L607&lt;=180,"91–180 Days",
L607&lt;=365,"181–365 Days",
L607&gt;365,"365+ Days (High Risk)"
)</f>
        <v>181–365 Days</v>
      </c>
      <c r="P607">
        <f t="shared" si="69"/>
        <v>0</v>
      </c>
      <c r="Q607" s="3">
        <f t="shared" ca="1" si="67"/>
        <v>6733.21</v>
      </c>
    </row>
    <row r="608" spans="1:17" x14ac:dyDescent="0.25">
      <c r="A608" t="s">
        <v>612</v>
      </c>
      <c r="B608" t="s">
        <v>910</v>
      </c>
      <c r="C608" s="1">
        <v>45305</v>
      </c>
      <c r="D608" s="1">
        <v>45350</v>
      </c>
      <c r="E608">
        <v>392.35</v>
      </c>
      <c r="F608" t="s">
        <v>913</v>
      </c>
      <c r="G608" t="s">
        <v>916</v>
      </c>
      <c r="I608" t="s">
        <v>919</v>
      </c>
      <c r="J608" t="b">
        <f t="shared" si="63"/>
        <v>1</v>
      </c>
      <c r="K608" s="3">
        <f t="shared" ca="1" si="64"/>
        <v>746</v>
      </c>
      <c r="L608" s="3">
        <f t="shared" ca="1" si="65"/>
        <v>701</v>
      </c>
      <c r="M608" t="str">
        <f t="shared" ca="1" si="66"/>
        <v>Overdue</v>
      </c>
      <c r="N608">
        <f t="shared" si="68"/>
        <v>392.35</v>
      </c>
      <c r="O608" t="str" cm="1">
        <f t="array" aca="1" ref="O608" ca="1">_xlfn.IFS(
L608&lt;=0,"Not Due",
L608&lt;=30,"0–30 Days",
L608&lt;=60,"31–60 Days",
L608&lt;=90,"61–90 Days",
L608&lt;=180,"91–180 Days",
L608&lt;=365,"181–365 Days",
L608&gt;365,"365+ Days (High Risk)"
)</f>
        <v>365+ Days (High Risk)</v>
      </c>
      <c r="P608">
        <f t="shared" si="69"/>
        <v>0</v>
      </c>
      <c r="Q608" s="3">
        <f t="shared" ca="1" si="67"/>
        <v>392.35</v>
      </c>
    </row>
    <row r="609" spans="1:17" x14ac:dyDescent="0.25">
      <c r="A609" t="s">
        <v>613</v>
      </c>
      <c r="B609" t="s">
        <v>908</v>
      </c>
      <c r="C609" s="1">
        <v>45375</v>
      </c>
      <c r="D609" s="1">
        <v>45420</v>
      </c>
      <c r="E609">
        <v>372.39</v>
      </c>
      <c r="F609" t="s">
        <v>914</v>
      </c>
      <c r="G609" t="s">
        <v>917</v>
      </c>
      <c r="I609" t="s">
        <v>919</v>
      </c>
      <c r="J609" t="b">
        <f t="shared" si="63"/>
        <v>1</v>
      </c>
      <c r="K609" s="3">
        <f t="shared" ca="1" si="64"/>
        <v>676</v>
      </c>
      <c r="L609" s="3">
        <f t="shared" ca="1" si="65"/>
        <v>631</v>
      </c>
      <c r="M609" t="str">
        <f t="shared" ca="1" si="66"/>
        <v>Overdue</v>
      </c>
      <c r="N609">
        <f t="shared" si="68"/>
        <v>372.39</v>
      </c>
      <c r="O609" t="str" cm="1">
        <f t="array" aca="1" ref="O609" ca="1">_xlfn.IFS(
L609&lt;=0,"Not Due",
L609&lt;=30,"0–30 Days",
L609&lt;=60,"31–60 Days",
L609&lt;=90,"61–90 Days",
L609&lt;=180,"91–180 Days",
L609&lt;=365,"181–365 Days",
L609&gt;365,"365+ Days (High Risk)"
)</f>
        <v>365+ Days (High Risk)</v>
      </c>
      <c r="P609">
        <f t="shared" si="69"/>
        <v>0</v>
      </c>
      <c r="Q609" s="3">
        <f t="shared" ca="1" si="67"/>
        <v>372.39</v>
      </c>
    </row>
    <row r="610" spans="1:17" x14ac:dyDescent="0.25">
      <c r="A610" t="s">
        <v>614</v>
      </c>
      <c r="B610" t="s">
        <v>910</v>
      </c>
      <c r="C610" s="1">
        <v>45298</v>
      </c>
      <c r="D610" s="1">
        <v>45343</v>
      </c>
      <c r="E610">
        <v>5066.4799999999996</v>
      </c>
      <c r="F610" t="s">
        <v>913</v>
      </c>
      <c r="G610" t="s">
        <v>916</v>
      </c>
      <c r="I610" t="s">
        <v>919</v>
      </c>
      <c r="J610" t="b">
        <f t="shared" si="63"/>
        <v>1</v>
      </c>
      <c r="K610" s="3">
        <f t="shared" ca="1" si="64"/>
        <v>753</v>
      </c>
      <c r="L610" s="3">
        <f t="shared" ca="1" si="65"/>
        <v>708</v>
      </c>
      <c r="M610" t="str">
        <f t="shared" ca="1" si="66"/>
        <v>Overdue</v>
      </c>
      <c r="N610">
        <f t="shared" si="68"/>
        <v>5066.4799999999996</v>
      </c>
      <c r="O610" t="str" cm="1">
        <f t="array" aca="1" ref="O610" ca="1">_xlfn.IFS(
L610&lt;=0,"Not Due",
L610&lt;=30,"0–30 Days",
L610&lt;=60,"31–60 Days",
L610&lt;=90,"61–90 Days",
L610&lt;=180,"91–180 Days",
L610&lt;=365,"181–365 Days",
L610&gt;365,"365+ Days (High Risk)"
)</f>
        <v>365+ Days (High Risk)</v>
      </c>
      <c r="P610">
        <f t="shared" si="69"/>
        <v>0</v>
      </c>
      <c r="Q610" s="3">
        <f t="shared" ca="1" si="67"/>
        <v>5066.4799999999996</v>
      </c>
    </row>
    <row r="611" spans="1:17" x14ac:dyDescent="0.25">
      <c r="A611" t="s">
        <v>615</v>
      </c>
      <c r="B611" t="s">
        <v>906</v>
      </c>
      <c r="C611" s="1">
        <v>45804</v>
      </c>
      <c r="D611" s="1">
        <v>45849</v>
      </c>
      <c r="E611">
        <v>2397.25</v>
      </c>
      <c r="F611" t="s">
        <v>914</v>
      </c>
      <c r="G611" t="s">
        <v>917</v>
      </c>
      <c r="I611" t="s">
        <v>919</v>
      </c>
      <c r="J611" t="b">
        <f t="shared" si="63"/>
        <v>1</v>
      </c>
      <c r="K611" s="3">
        <f t="shared" ca="1" si="64"/>
        <v>247</v>
      </c>
      <c r="L611" s="3">
        <f t="shared" ca="1" si="65"/>
        <v>202</v>
      </c>
      <c r="M611" t="str">
        <f t="shared" ca="1" si="66"/>
        <v>Overdue</v>
      </c>
      <c r="N611">
        <f t="shared" si="68"/>
        <v>2397.25</v>
      </c>
      <c r="O611" t="str" cm="1">
        <f t="array" aca="1" ref="O611" ca="1">_xlfn.IFS(
L611&lt;=0,"Not Due",
L611&lt;=30,"0–30 Days",
L611&lt;=60,"31–60 Days",
L611&lt;=90,"61–90 Days",
L611&lt;=180,"91–180 Days",
L611&lt;=365,"181–365 Days",
L611&gt;365,"365+ Days (High Risk)"
)</f>
        <v>181–365 Days</v>
      </c>
      <c r="P611">
        <f t="shared" si="69"/>
        <v>0</v>
      </c>
      <c r="Q611" s="3">
        <f t="shared" ca="1" si="67"/>
        <v>2397.25</v>
      </c>
    </row>
    <row r="612" spans="1:17" x14ac:dyDescent="0.25">
      <c r="A612" t="s">
        <v>616</v>
      </c>
      <c r="B612" t="s">
        <v>907</v>
      </c>
      <c r="C612" s="1">
        <v>45120</v>
      </c>
      <c r="D612" s="1">
        <v>45165</v>
      </c>
      <c r="E612">
        <v>1999.63</v>
      </c>
      <c r="F612" t="s">
        <v>912</v>
      </c>
      <c r="G612" t="s">
        <v>917</v>
      </c>
      <c r="I612" t="s">
        <v>919</v>
      </c>
      <c r="J612" t="b">
        <f t="shared" si="63"/>
        <v>1</v>
      </c>
      <c r="K612" s="3">
        <f t="shared" ca="1" si="64"/>
        <v>931</v>
      </c>
      <c r="L612" s="3">
        <f t="shared" ca="1" si="65"/>
        <v>886</v>
      </c>
      <c r="M612" t="str">
        <f t="shared" ca="1" si="66"/>
        <v>Overdue</v>
      </c>
      <c r="N612">
        <f t="shared" si="68"/>
        <v>1999.63</v>
      </c>
      <c r="O612" t="str" cm="1">
        <f t="array" aca="1" ref="O612" ca="1">_xlfn.IFS(
L612&lt;=0,"Not Due",
L612&lt;=30,"0–30 Days",
L612&lt;=60,"31–60 Days",
L612&lt;=90,"61–90 Days",
L612&lt;=180,"91–180 Days",
L612&lt;=365,"181–365 Days",
L612&gt;365,"365+ Days (High Risk)"
)</f>
        <v>365+ Days (High Risk)</v>
      </c>
      <c r="P612">
        <f t="shared" si="69"/>
        <v>0</v>
      </c>
      <c r="Q612" s="3">
        <f t="shared" ca="1" si="67"/>
        <v>1999.63</v>
      </c>
    </row>
    <row r="613" spans="1:17" x14ac:dyDescent="0.25">
      <c r="A613" t="s">
        <v>617</v>
      </c>
      <c r="B613" t="s">
        <v>910</v>
      </c>
      <c r="C613" s="1">
        <v>45634</v>
      </c>
      <c r="D613" s="1">
        <v>45679</v>
      </c>
      <c r="E613">
        <v>1154.49</v>
      </c>
      <c r="F613" t="s">
        <v>911</v>
      </c>
      <c r="G613" t="s">
        <v>918</v>
      </c>
      <c r="H613" s="1">
        <v>45679</v>
      </c>
      <c r="I613" t="s">
        <v>919</v>
      </c>
      <c r="J613" t="b">
        <f t="shared" si="63"/>
        <v>0</v>
      </c>
      <c r="K613" s="3">
        <f t="shared" ca="1" si="64"/>
        <v>45</v>
      </c>
      <c r="L613" s="3">
        <f t="shared" ca="1" si="65"/>
        <v>0</v>
      </c>
      <c r="M613" t="str">
        <f t="shared" ca="1" si="66"/>
        <v>On Time</v>
      </c>
      <c r="N613">
        <f t="shared" si="68"/>
        <v>0</v>
      </c>
      <c r="O613" t="str" cm="1">
        <f t="array" aca="1" ref="O613" ca="1">_xlfn.IFS(
L613&lt;=0,"Not Due",
L613&lt;=30,"0–30 Days",
L613&lt;=60,"31–60 Days",
L613&lt;=90,"61–90 Days",
L613&lt;=180,"91–180 Days",
L613&lt;=365,"181–365 Days",
L613&gt;365,"365+ Days (High Risk)"
)</f>
        <v>Not Due</v>
      </c>
      <c r="P613">
        <f t="shared" si="69"/>
        <v>1154.49</v>
      </c>
      <c r="Q613" s="3">
        <f t="shared" ca="1" si="67"/>
        <v>0</v>
      </c>
    </row>
    <row r="614" spans="1:17" x14ac:dyDescent="0.25">
      <c r="A614" t="s">
        <v>618</v>
      </c>
      <c r="B614" t="s">
        <v>908</v>
      </c>
      <c r="C614" s="1">
        <v>45036</v>
      </c>
      <c r="D614" s="1">
        <v>45081</v>
      </c>
      <c r="E614">
        <v>594.48</v>
      </c>
      <c r="F614" t="s">
        <v>911</v>
      </c>
      <c r="G614" t="s">
        <v>917</v>
      </c>
      <c r="I614" t="s">
        <v>919</v>
      </c>
      <c r="J614" t="b">
        <f t="shared" si="63"/>
        <v>1</v>
      </c>
      <c r="K614" s="3">
        <f t="shared" ca="1" si="64"/>
        <v>1015</v>
      </c>
      <c r="L614" s="3">
        <f t="shared" ca="1" si="65"/>
        <v>970</v>
      </c>
      <c r="M614" t="str">
        <f t="shared" ca="1" si="66"/>
        <v>Overdue</v>
      </c>
      <c r="N614">
        <f t="shared" si="68"/>
        <v>594.48</v>
      </c>
      <c r="O614" t="str" cm="1">
        <f t="array" aca="1" ref="O614" ca="1">_xlfn.IFS(
L614&lt;=0,"Not Due",
L614&lt;=30,"0–30 Days",
L614&lt;=60,"31–60 Days",
L614&lt;=90,"61–90 Days",
L614&lt;=180,"91–180 Days",
L614&lt;=365,"181–365 Days",
L614&gt;365,"365+ Days (High Risk)"
)</f>
        <v>365+ Days (High Risk)</v>
      </c>
      <c r="P614">
        <f t="shared" si="69"/>
        <v>0</v>
      </c>
      <c r="Q614" s="3">
        <f t="shared" ca="1" si="67"/>
        <v>594.48</v>
      </c>
    </row>
    <row r="615" spans="1:17" x14ac:dyDescent="0.25">
      <c r="A615" t="s">
        <v>619</v>
      </c>
      <c r="B615" t="s">
        <v>907</v>
      </c>
      <c r="C615" s="1">
        <v>45181</v>
      </c>
      <c r="D615" s="1">
        <v>45226</v>
      </c>
      <c r="E615">
        <v>6539.17</v>
      </c>
      <c r="F615" t="s">
        <v>915</v>
      </c>
      <c r="G615" t="s">
        <v>916</v>
      </c>
      <c r="I615" t="s">
        <v>919</v>
      </c>
      <c r="J615" t="b">
        <f t="shared" si="63"/>
        <v>1</v>
      </c>
      <c r="K615" s="3">
        <f t="shared" ca="1" si="64"/>
        <v>870</v>
      </c>
      <c r="L615" s="3">
        <f t="shared" ca="1" si="65"/>
        <v>825</v>
      </c>
      <c r="M615" t="str">
        <f t="shared" ca="1" si="66"/>
        <v>Overdue</v>
      </c>
      <c r="N615">
        <f t="shared" si="68"/>
        <v>6539.17</v>
      </c>
      <c r="O615" t="str" cm="1">
        <f t="array" aca="1" ref="O615" ca="1">_xlfn.IFS(
L615&lt;=0,"Not Due",
L615&lt;=30,"0–30 Days",
L615&lt;=60,"31–60 Days",
L615&lt;=90,"61–90 Days",
L615&lt;=180,"91–180 Days",
L615&lt;=365,"181–365 Days",
L615&gt;365,"365+ Days (High Risk)"
)</f>
        <v>365+ Days (High Risk)</v>
      </c>
      <c r="P615">
        <f t="shared" si="69"/>
        <v>0</v>
      </c>
      <c r="Q615" s="3">
        <f t="shared" ca="1" si="67"/>
        <v>6539.17</v>
      </c>
    </row>
    <row r="616" spans="1:17" x14ac:dyDescent="0.25">
      <c r="A616" t="s">
        <v>620</v>
      </c>
      <c r="B616" t="s">
        <v>907</v>
      </c>
      <c r="C616" s="1">
        <v>45384</v>
      </c>
      <c r="D616" s="1">
        <v>45429</v>
      </c>
      <c r="E616">
        <v>6898.03</v>
      </c>
      <c r="F616" t="s">
        <v>913</v>
      </c>
      <c r="G616" t="s">
        <v>917</v>
      </c>
      <c r="I616" t="s">
        <v>919</v>
      </c>
      <c r="J616" t="b">
        <f t="shared" si="63"/>
        <v>1</v>
      </c>
      <c r="K616" s="3">
        <f t="shared" ca="1" si="64"/>
        <v>667</v>
      </c>
      <c r="L616" s="3">
        <f t="shared" ca="1" si="65"/>
        <v>622</v>
      </c>
      <c r="M616" t="str">
        <f t="shared" ca="1" si="66"/>
        <v>Overdue</v>
      </c>
      <c r="N616">
        <f t="shared" si="68"/>
        <v>6898.03</v>
      </c>
      <c r="O616" t="str" cm="1">
        <f t="array" aca="1" ref="O616" ca="1">_xlfn.IFS(
L616&lt;=0,"Not Due",
L616&lt;=30,"0–30 Days",
L616&lt;=60,"31–60 Days",
L616&lt;=90,"61–90 Days",
L616&lt;=180,"91–180 Days",
L616&lt;=365,"181–365 Days",
L616&gt;365,"365+ Days (High Risk)"
)</f>
        <v>365+ Days (High Risk)</v>
      </c>
      <c r="P616">
        <f t="shared" si="69"/>
        <v>0</v>
      </c>
      <c r="Q616" s="3">
        <f t="shared" ca="1" si="67"/>
        <v>6898.03</v>
      </c>
    </row>
    <row r="617" spans="1:17" x14ac:dyDescent="0.25">
      <c r="A617" t="s">
        <v>621</v>
      </c>
      <c r="B617" t="s">
        <v>906</v>
      </c>
      <c r="C617" s="1">
        <v>45304</v>
      </c>
      <c r="D617" s="1">
        <v>45349</v>
      </c>
      <c r="E617">
        <v>1278.8699999999999</v>
      </c>
      <c r="F617" t="s">
        <v>911</v>
      </c>
      <c r="G617" t="s">
        <v>917</v>
      </c>
      <c r="I617" t="s">
        <v>919</v>
      </c>
      <c r="J617" t="b">
        <f t="shared" si="63"/>
        <v>1</v>
      </c>
      <c r="K617" s="3">
        <f t="shared" ca="1" si="64"/>
        <v>747</v>
      </c>
      <c r="L617" s="3">
        <f t="shared" ca="1" si="65"/>
        <v>702</v>
      </c>
      <c r="M617" t="str">
        <f t="shared" ca="1" si="66"/>
        <v>Overdue</v>
      </c>
      <c r="N617">
        <f t="shared" si="68"/>
        <v>1278.8699999999999</v>
      </c>
      <c r="O617" t="str" cm="1">
        <f t="array" aca="1" ref="O617" ca="1">_xlfn.IFS(
L617&lt;=0,"Not Due",
L617&lt;=30,"0–30 Days",
L617&lt;=60,"31–60 Days",
L617&lt;=90,"61–90 Days",
L617&lt;=180,"91–180 Days",
L617&lt;=365,"181–365 Days",
L617&gt;365,"365+ Days (High Risk)"
)</f>
        <v>365+ Days (High Risk)</v>
      </c>
      <c r="P617">
        <f t="shared" si="69"/>
        <v>0</v>
      </c>
      <c r="Q617" s="3">
        <f t="shared" ca="1" si="67"/>
        <v>1278.8699999999999</v>
      </c>
    </row>
    <row r="618" spans="1:17" x14ac:dyDescent="0.25">
      <c r="A618" t="s">
        <v>622</v>
      </c>
      <c r="B618" t="s">
        <v>906</v>
      </c>
      <c r="C618" s="1">
        <v>45765</v>
      </c>
      <c r="D618" s="1">
        <v>45810</v>
      </c>
      <c r="E618">
        <v>2943.85</v>
      </c>
      <c r="F618" t="s">
        <v>912</v>
      </c>
      <c r="G618" t="s">
        <v>918</v>
      </c>
      <c r="H618" s="1">
        <v>45810</v>
      </c>
      <c r="I618" t="s">
        <v>919</v>
      </c>
      <c r="J618" t="b">
        <f t="shared" si="63"/>
        <v>0</v>
      </c>
      <c r="K618" s="3">
        <f t="shared" ca="1" si="64"/>
        <v>45</v>
      </c>
      <c r="L618" s="3">
        <f t="shared" ca="1" si="65"/>
        <v>0</v>
      </c>
      <c r="M618" t="str">
        <f t="shared" ca="1" si="66"/>
        <v>On Time</v>
      </c>
      <c r="N618">
        <f t="shared" si="68"/>
        <v>0</v>
      </c>
      <c r="O618" t="str" cm="1">
        <f t="array" aca="1" ref="O618" ca="1">_xlfn.IFS(
L618&lt;=0,"Not Due",
L618&lt;=30,"0–30 Days",
L618&lt;=60,"31–60 Days",
L618&lt;=90,"61–90 Days",
L618&lt;=180,"91–180 Days",
L618&lt;=365,"181–365 Days",
L618&gt;365,"365+ Days (High Risk)"
)</f>
        <v>Not Due</v>
      </c>
      <c r="P618">
        <f t="shared" si="69"/>
        <v>2943.85</v>
      </c>
      <c r="Q618" s="3">
        <f t="shared" ca="1" si="67"/>
        <v>0</v>
      </c>
    </row>
    <row r="619" spans="1:17" x14ac:dyDescent="0.25">
      <c r="A619" t="s">
        <v>623</v>
      </c>
      <c r="B619" t="s">
        <v>906</v>
      </c>
      <c r="C619" s="1">
        <v>45220</v>
      </c>
      <c r="D619" s="1">
        <v>45265</v>
      </c>
      <c r="E619">
        <v>2262.88</v>
      </c>
      <c r="F619" t="s">
        <v>912</v>
      </c>
      <c r="G619" t="s">
        <v>916</v>
      </c>
      <c r="I619" t="s">
        <v>919</v>
      </c>
      <c r="J619" t="b">
        <f t="shared" si="63"/>
        <v>1</v>
      </c>
      <c r="K619" s="3">
        <f t="shared" ca="1" si="64"/>
        <v>831</v>
      </c>
      <c r="L619" s="3">
        <f t="shared" ca="1" si="65"/>
        <v>786</v>
      </c>
      <c r="M619" t="str">
        <f t="shared" ca="1" si="66"/>
        <v>Overdue</v>
      </c>
      <c r="N619">
        <f t="shared" si="68"/>
        <v>2262.88</v>
      </c>
      <c r="O619" t="str" cm="1">
        <f t="array" aca="1" ref="O619" ca="1">_xlfn.IFS(
L619&lt;=0,"Not Due",
L619&lt;=30,"0–30 Days",
L619&lt;=60,"31–60 Days",
L619&lt;=90,"61–90 Days",
L619&lt;=180,"91–180 Days",
L619&lt;=365,"181–365 Days",
L619&gt;365,"365+ Days (High Risk)"
)</f>
        <v>365+ Days (High Risk)</v>
      </c>
      <c r="P619">
        <f t="shared" si="69"/>
        <v>0</v>
      </c>
      <c r="Q619" s="3">
        <f t="shared" ca="1" si="67"/>
        <v>2262.88</v>
      </c>
    </row>
    <row r="620" spans="1:17" x14ac:dyDescent="0.25">
      <c r="A620" t="s">
        <v>624</v>
      </c>
      <c r="B620" t="s">
        <v>909</v>
      </c>
      <c r="C620" s="1">
        <v>45463</v>
      </c>
      <c r="D620" s="1">
        <v>45508</v>
      </c>
      <c r="E620">
        <v>839.79</v>
      </c>
      <c r="F620" t="s">
        <v>913</v>
      </c>
      <c r="G620" t="s">
        <v>916</v>
      </c>
      <c r="I620" t="s">
        <v>919</v>
      </c>
      <c r="J620" t="b">
        <f t="shared" si="63"/>
        <v>1</v>
      </c>
      <c r="K620" s="3">
        <f t="shared" ca="1" si="64"/>
        <v>588</v>
      </c>
      <c r="L620" s="3">
        <f t="shared" ca="1" si="65"/>
        <v>543</v>
      </c>
      <c r="M620" t="str">
        <f t="shared" ca="1" si="66"/>
        <v>Overdue</v>
      </c>
      <c r="N620">
        <f t="shared" si="68"/>
        <v>839.79</v>
      </c>
      <c r="O620" t="str" cm="1">
        <f t="array" aca="1" ref="O620" ca="1">_xlfn.IFS(
L620&lt;=0,"Not Due",
L620&lt;=30,"0–30 Days",
L620&lt;=60,"31–60 Days",
L620&lt;=90,"61–90 Days",
L620&lt;=180,"91–180 Days",
L620&lt;=365,"181–365 Days",
L620&gt;365,"365+ Days (High Risk)"
)</f>
        <v>365+ Days (High Risk)</v>
      </c>
      <c r="P620">
        <f t="shared" si="69"/>
        <v>0</v>
      </c>
      <c r="Q620" s="3">
        <f t="shared" ca="1" si="67"/>
        <v>839.79</v>
      </c>
    </row>
    <row r="621" spans="1:17" x14ac:dyDescent="0.25">
      <c r="A621" t="s">
        <v>625</v>
      </c>
      <c r="B621" t="s">
        <v>910</v>
      </c>
      <c r="C621" s="1">
        <v>45208</v>
      </c>
      <c r="D621" s="1">
        <v>45253</v>
      </c>
      <c r="E621">
        <v>1981.78</v>
      </c>
      <c r="F621" t="s">
        <v>914</v>
      </c>
      <c r="G621" t="s">
        <v>917</v>
      </c>
      <c r="I621" t="s">
        <v>919</v>
      </c>
      <c r="J621" t="b">
        <f t="shared" si="63"/>
        <v>1</v>
      </c>
      <c r="K621" s="3">
        <f t="shared" ca="1" si="64"/>
        <v>843</v>
      </c>
      <c r="L621" s="3">
        <f t="shared" ca="1" si="65"/>
        <v>798</v>
      </c>
      <c r="M621" t="str">
        <f t="shared" ca="1" si="66"/>
        <v>Overdue</v>
      </c>
      <c r="N621">
        <f t="shared" si="68"/>
        <v>1981.78</v>
      </c>
      <c r="O621" t="str" cm="1">
        <f t="array" aca="1" ref="O621" ca="1">_xlfn.IFS(
L621&lt;=0,"Not Due",
L621&lt;=30,"0–30 Days",
L621&lt;=60,"31–60 Days",
L621&lt;=90,"61–90 Days",
L621&lt;=180,"91–180 Days",
L621&lt;=365,"181–365 Days",
L621&gt;365,"365+ Days (High Risk)"
)</f>
        <v>365+ Days (High Risk)</v>
      </c>
      <c r="P621">
        <f t="shared" si="69"/>
        <v>0</v>
      </c>
      <c r="Q621" s="3">
        <f t="shared" ca="1" si="67"/>
        <v>1981.78</v>
      </c>
    </row>
    <row r="622" spans="1:17" x14ac:dyDescent="0.25">
      <c r="A622" t="s">
        <v>626</v>
      </c>
      <c r="B622" t="s">
        <v>909</v>
      </c>
      <c r="C622" s="1">
        <v>45461</v>
      </c>
      <c r="D622" s="1">
        <v>45506</v>
      </c>
      <c r="E622">
        <v>7993.22</v>
      </c>
      <c r="F622" t="s">
        <v>911</v>
      </c>
      <c r="G622" t="s">
        <v>918</v>
      </c>
      <c r="H622" s="1">
        <v>45506</v>
      </c>
      <c r="I622" t="s">
        <v>919</v>
      </c>
      <c r="J622" t="b">
        <f t="shared" si="63"/>
        <v>0</v>
      </c>
      <c r="K622" s="3">
        <f t="shared" ca="1" si="64"/>
        <v>45</v>
      </c>
      <c r="L622" s="3">
        <f t="shared" ca="1" si="65"/>
        <v>0</v>
      </c>
      <c r="M622" t="str">
        <f t="shared" ca="1" si="66"/>
        <v>On Time</v>
      </c>
      <c r="N622">
        <f t="shared" si="68"/>
        <v>0</v>
      </c>
      <c r="O622" t="str" cm="1">
        <f t="array" aca="1" ref="O622" ca="1">_xlfn.IFS(
L622&lt;=0,"Not Due",
L622&lt;=30,"0–30 Days",
L622&lt;=60,"31–60 Days",
L622&lt;=90,"61–90 Days",
L622&lt;=180,"91–180 Days",
L622&lt;=365,"181–365 Days",
L622&gt;365,"365+ Days (High Risk)"
)</f>
        <v>Not Due</v>
      </c>
      <c r="P622">
        <f t="shared" si="69"/>
        <v>7993.22</v>
      </c>
      <c r="Q622" s="3">
        <f t="shared" ca="1" si="67"/>
        <v>0</v>
      </c>
    </row>
    <row r="623" spans="1:17" x14ac:dyDescent="0.25">
      <c r="A623" t="s">
        <v>627</v>
      </c>
      <c r="B623" t="s">
        <v>910</v>
      </c>
      <c r="C623" s="1">
        <v>45577</v>
      </c>
      <c r="D623" s="1">
        <v>45622</v>
      </c>
      <c r="E623">
        <v>505.41</v>
      </c>
      <c r="F623" t="s">
        <v>913</v>
      </c>
      <c r="G623" t="s">
        <v>918</v>
      </c>
      <c r="H623" s="1">
        <v>45622</v>
      </c>
      <c r="I623" t="s">
        <v>919</v>
      </c>
      <c r="J623" t="b">
        <f t="shared" si="63"/>
        <v>0</v>
      </c>
      <c r="K623" s="3">
        <f t="shared" ca="1" si="64"/>
        <v>45</v>
      </c>
      <c r="L623" s="3">
        <f t="shared" ca="1" si="65"/>
        <v>0</v>
      </c>
      <c r="M623" t="str">
        <f t="shared" ca="1" si="66"/>
        <v>On Time</v>
      </c>
      <c r="N623">
        <f t="shared" si="68"/>
        <v>0</v>
      </c>
      <c r="O623" t="str" cm="1">
        <f t="array" aca="1" ref="O623" ca="1">_xlfn.IFS(
L623&lt;=0,"Not Due",
L623&lt;=30,"0–30 Days",
L623&lt;=60,"31–60 Days",
L623&lt;=90,"61–90 Days",
L623&lt;=180,"91–180 Days",
L623&lt;=365,"181–365 Days",
L623&gt;365,"365+ Days (High Risk)"
)</f>
        <v>Not Due</v>
      </c>
      <c r="P623">
        <f t="shared" si="69"/>
        <v>505.41</v>
      </c>
      <c r="Q623" s="3">
        <f t="shared" ca="1" si="67"/>
        <v>0</v>
      </c>
    </row>
    <row r="624" spans="1:17" x14ac:dyDescent="0.25">
      <c r="A624" t="s">
        <v>628</v>
      </c>
      <c r="B624" t="s">
        <v>906</v>
      </c>
      <c r="C624" s="1">
        <v>45414</v>
      </c>
      <c r="D624" s="1">
        <v>45459</v>
      </c>
      <c r="E624">
        <v>1214.1099999999999</v>
      </c>
      <c r="F624" t="s">
        <v>911</v>
      </c>
      <c r="G624" t="s">
        <v>917</v>
      </c>
      <c r="I624" t="s">
        <v>919</v>
      </c>
      <c r="J624" t="b">
        <f t="shared" si="63"/>
        <v>1</v>
      </c>
      <c r="K624" s="3">
        <f t="shared" ca="1" si="64"/>
        <v>637</v>
      </c>
      <c r="L624" s="3">
        <f t="shared" ca="1" si="65"/>
        <v>592</v>
      </c>
      <c r="M624" t="str">
        <f t="shared" ca="1" si="66"/>
        <v>Overdue</v>
      </c>
      <c r="N624">
        <f t="shared" si="68"/>
        <v>1214.1099999999999</v>
      </c>
      <c r="O624" t="str" cm="1">
        <f t="array" aca="1" ref="O624" ca="1">_xlfn.IFS(
L624&lt;=0,"Not Due",
L624&lt;=30,"0–30 Days",
L624&lt;=60,"31–60 Days",
L624&lt;=90,"61–90 Days",
L624&lt;=180,"91–180 Days",
L624&lt;=365,"181–365 Days",
L624&gt;365,"365+ Days (High Risk)"
)</f>
        <v>365+ Days (High Risk)</v>
      </c>
      <c r="P624">
        <f t="shared" si="69"/>
        <v>0</v>
      </c>
      <c r="Q624" s="3">
        <f t="shared" ca="1" si="67"/>
        <v>1214.1099999999999</v>
      </c>
    </row>
    <row r="625" spans="1:17" x14ac:dyDescent="0.25">
      <c r="A625" t="s">
        <v>629</v>
      </c>
      <c r="B625" t="s">
        <v>910</v>
      </c>
      <c r="C625" s="1">
        <v>45768</v>
      </c>
      <c r="D625" s="1">
        <v>45813</v>
      </c>
      <c r="E625">
        <v>2924.58</v>
      </c>
      <c r="F625" t="s">
        <v>914</v>
      </c>
      <c r="G625" t="s">
        <v>918</v>
      </c>
      <c r="H625" s="1">
        <v>45813</v>
      </c>
      <c r="I625" t="s">
        <v>919</v>
      </c>
      <c r="J625" t="b">
        <f t="shared" si="63"/>
        <v>0</v>
      </c>
      <c r="K625" s="3">
        <f t="shared" ca="1" si="64"/>
        <v>45</v>
      </c>
      <c r="L625" s="3">
        <f t="shared" ca="1" si="65"/>
        <v>0</v>
      </c>
      <c r="M625" t="str">
        <f t="shared" ca="1" si="66"/>
        <v>On Time</v>
      </c>
      <c r="N625">
        <f t="shared" si="68"/>
        <v>0</v>
      </c>
      <c r="O625" t="str" cm="1">
        <f t="array" aca="1" ref="O625" ca="1">_xlfn.IFS(
L625&lt;=0,"Not Due",
L625&lt;=30,"0–30 Days",
L625&lt;=60,"31–60 Days",
L625&lt;=90,"61–90 Days",
L625&lt;=180,"91–180 Days",
L625&lt;=365,"181–365 Days",
L625&gt;365,"365+ Days (High Risk)"
)</f>
        <v>Not Due</v>
      </c>
      <c r="P625">
        <f t="shared" si="69"/>
        <v>2924.58</v>
      </c>
      <c r="Q625" s="3">
        <f t="shared" ca="1" si="67"/>
        <v>0</v>
      </c>
    </row>
    <row r="626" spans="1:17" x14ac:dyDescent="0.25">
      <c r="A626" t="s">
        <v>630</v>
      </c>
      <c r="B626" t="s">
        <v>908</v>
      </c>
      <c r="C626" s="1">
        <v>45243</v>
      </c>
      <c r="D626" s="1">
        <v>45288</v>
      </c>
      <c r="E626">
        <v>7029.41</v>
      </c>
      <c r="F626" t="s">
        <v>913</v>
      </c>
      <c r="G626" t="s">
        <v>916</v>
      </c>
      <c r="I626" t="s">
        <v>919</v>
      </c>
      <c r="J626" t="b">
        <f t="shared" si="63"/>
        <v>1</v>
      </c>
      <c r="K626" s="3">
        <f t="shared" ca="1" si="64"/>
        <v>808</v>
      </c>
      <c r="L626" s="3">
        <f t="shared" ca="1" si="65"/>
        <v>763</v>
      </c>
      <c r="M626" t="str">
        <f t="shared" ca="1" si="66"/>
        <v>Overdue</v>
      </c>
      <c r="N626">
        <f t="shared" si="68"/>
        <v>7029.41</v>
      </c>
      <c r="O626" t="str" cm="1">
        <f t="array" aca="1" ref="O626" ca="1">_xlfn.IFS(
L626&lt;=0,"Not Due",
L626&lt;=30,"0–30 Days",
L626&lt;=60,"31–60 Days",
L626&lt;=90,"61–90 Days",
L626&lt;=180,"91–180 Days",
L626&lt;=365,"181–365 Days",
L626&gt;365,"365+ Days (High Risk)"
)</f>
        <v>365+ Days (High Risk)</v>
      </c>
      <c r="P626">
        <f t="shared" si="69"/>
        <v>0</v>
      </c>
      <c r="Q626" s="3">
        <f t="shared" ca="1" si="67"/>
        <v>7029.41</v>
      </c>
    </row>
    <row r="627" spans="1:17" x14ac:dyDescent="0.25">
      <c r="A627" t="s">
        <v>631</v>
      </c>
      <c r="B627" t="s">
        <v>906</v>
      </c>
      <c r="C627" s="1">
        <v>45540</v>
      </c>
      <c r="D627" s="1">
        <v>45585</v>
      </c>
      <c r="E627">
        <v>4527.1099999999997</v>
      </c>
      <c r="F627" t="s">
        <v>912</v>
      </c>
      <c r="G627" t="s">
        <v>917</v>
      </c>
      <c r="I627" t="s">
        <v>919</v>
      </c>
      <c r="J627" t="b">
        <f t="shared" si="63"/>
        <v>1</v>
      </c>
      <c r="K627" s="3">
        <f t="shared" ca="1" si="64"/>
        <v>511</v>
      </c>
      <c r="L627" s="3">
        <f t="shared" ca="1" si="65"/>
        <v>466</v>
      </c>
      <c r="M627" t="str">
        <f t="shared" ca="1" si="66"/>
        <v>Overdue</v>
      </c>
      <c r="N627">
        <f t="shared" si="68"/>
        <v>4527.1099999999997</v>
      </c>
      <c r="O627" t="str" cm="1">
        <f t="array" aca="1" ref="O627" ca="1">_xlfn.IFS(
L627&lt;=0,"Not Due",
L627&lt;=30,"0–30 Days",
L627&lt;=60,"31–60 Days",
L627&lt;=90,"61–90 Days",
L627&lt;=180,"91–180 Days",
L627&lt;=365,"181–365 Days",
L627&gt;365,"365+ Days (High Risk)"
)</f>
        <v>365+ Days (High Risk)</v>
      </c>
      <c r="P627">
        <f t="shared" si="69"/>
        <v>0</v>
      </c>
      <c r="Q627" s="3">
        <f t="shared" ca="1" si="67"/>
        <v>4527.1099999999997</v>
      </c>
    </row>
    <row r="628" spans="1:17" x14ac:dyDescent="0.25">
      <c r="A628" t="s">
        <v>632</v>
      </c>
      <c r="B628" t="s">
        <v>907</v>
      </c>
      <c r="C628" s="1">
        <v>45057</v>
      </c>
      <c r="D628" s="1">
        <v>45102</v>
      </c>
      <c r="E628">
        <v>6525.23</v>
      </c>
      <c r="F628" t="s">
        <v>915</v>
      </c>
      <c r="G628" t="s">
        <v>917</v>
      </c>
      <c r="I628" t="s">
        <v>919</v>
      </c>
      <c r="J628" t="b">
        <f t="shared" si="63"/>
        <v>1</v>
      </c>
      <c r="K628" s="3">
        <f t="shared" ca="1" si="64"/>
        <v>994</v>
      </c>
      <c r="L628" s="3">
        <f t="shared" ca="1" si="65"/>
        <v>949</v>
      </c>
      <c r="M628" t="str">
        <f t="shared" ca="1" si="66"/>
        <v>Overdue</v>
      </c>
      <c r="N628">
        <f t="shared" si="68"/>
        <v>6525.23</v>
      </c>
      <c r="O628" t="str" cm="1">
        <f t="array" aca="1" ref="O628" ca="1">_xlfn.IFS(
L628&lt;=0,"Not Due",
L628&lt;=30,"0–30 Days",
L628&lt;=60,"31–60 Days",
L628&lt;=90,"61–90 Days",
L628&lt;=180,"91–180 Days",
L628&lt;=365,"181–365 Days",
L628&gt;365,"365+ Days (High Risk)"
)</f>
        <v>365+ Days (High Risk)</v>
      </c>
      <c r="P628">
        <f t="shared" si="69"/>
        <v>0</v>
      </c>
      <c r="Q628" s="3">
        <f t="shared" ca="1" si="67"/>
        <v>6525.23</v>
      </c>
    </row>
    <row r="629" spans="1:17" x14ac:dyDescent="0.25">
      <c r="A629" t="s">
        <v>633</v>
      </c>
      <c r="B629" t="s">
        <v>909</v>
      </c>
      <c r="C629" s="1">
        <v>45829</v>
      </c>
      <c r="D629" s="1">
        <v>45874</v>
      </c>
      <c r="E629">
        <v>3824.97</v>
      </c>
      <c r="F629" t="s">
        <v>911</v>
      </c>
      <c r="G629" t="s">
        <v>918</v>
      </c>
      <c r="H629" s="1">
        <v>45874</v>
      </c>
      <c r="I629" t="s">
        <v>919</v>
      </c>
      <c r="J629" t="b">
        <f t="shared" si="63"/>
        <v>0</v>
      </c>
      <c r="K629" s="3">
        <f t="shared" ca="1" si="64"/>
        <v>45</v>
      </c>
      <c r="L629" s="3">
        <f t="shared" ca="1" si="65"/>
        <v>0</v>
      </c>
      <c r="M629" t="str">
        <f t="shared" ca="1" si="66"/>
        <v>On Time</v>
      </c>
      <c r="N629">
        <f t="shared" si="68"/>
        <v>0</v>
      </c>
      <c r="O629" t="str" cm="1">
        <f t="array" aca="1" ref="O629" ca="1">_xlfn.IFS(
L629&lt;=0,"Not Due",
L629&lt;=30,"0–30 Days",
L629&lt;=60,"31–60 Days",
L629&lt;=90,"61–90 Days",
L629&lt;=180,"91–180 Days",
L629&lt;=365,"181–365 Days",
L629&gt;365,"365+ Days (High Risk)"
)</f>
        <v>Not Due</v>
      </c>
      <c r="P629">
        <f t="shared" si="69"/>
        <v>3824.97</v>
      </c>
      <c r="Q629" s="3">
        <f t="shared" ca="1" si="67"/>
        <v>0</v>
      </c>
    </row>
    <row r="630" spans="1:17" x14ac:dyDescent="0.25">
      <c r="A630" t="s">
        <v>634</v>
      </c>
      <c r="B630" t="s">
        <v>910</v>
      </c>
      <c r="C630" s="1">
        <v>45707</v>
      </c>
      <c r="D630" s="1">
        <v>45752</v>
      </c>
      <c r="E630">
        <v>1942.51</v>
      </c>
      <c r="F630" t="s">
        <v>915</v>
      </c>
      <c r="G630" t="s">
        <v>916</v>
      </c>
      <c r="I630" t="s">
        <v>919</v>
      </c>
      <c r="J630" t="b">
        <f t="shared" si="63"/>
        <v>1</v>
      </c>
      <c r="K630" s="3">
        <f t="shared" ca="1" si="64"/>
        <v>344</v>
      </c>
      <c r="L630" s="3">
        <f t="shared" ca="1" si="65"/>
        <v>299</v>
      </c>
      <c r="M630" t="str">
        <f t="shared" ca="1" si="66"/>
        <v>Overdue</v>
      </c>
      <c r="N630">
        <f t="shared" si="68"/>
        <v>1942.51</v>
      </c>
      <c r="O630" t="str" cm="1">
        <f t="array" aca="1" ref="O630" ca="1">_xlfn.IFS(
L630&lt;=0,"Not Due",
L630&lt;=30,"0–30 Days",
L630&lt;=60,"31–60 Days",
L630&lt;=90,"61–90 Days",
L630&lt;=180,"91–180 Days",
L630&lt;=365,"181–365 Days",
L630&gt;365,"365+ Days (High Risk)"
)</f>
        <v>181–365 Days</v>
      </c>
      <c r="P630">
        <f t="shared" si="69"/>
        <v>0</v>
      </c>
      <c r="Q630" s="3">
        <f t="shared" ca="1" si="67"/>
        <v>1942.51</v>
      </c>
    </row>
    <row r="631" spans="1:17" x14ac:dyDescent="0.25">
      <c r="A631" t="s">
        <v>635</v>
      </c>
      <c r="B631" t="s">
        <v>906</v>
      </c>
      <c r="C631" s="1">
        <v>45241</v>
      </c>
      <c r="D631" s="1">
        <v>45286</v>
      </c>
      <c r="E631">
        <v>5154.78</v>
      </c>
      <c r="F631" t="s">
        <v>912</v>
      </c>
      <c r="G631" t="s">
        <v>916</v>
      </c>
      <c r="I631" t="s">
        <v>919</v>
      </c>
      <c r="J631" t="b">
        <f t="shared" si="63"/>
        <v>1</v>
      </c>
      <c r="K631" s="3">
        <f t="shared" ca="1" si="64"/>
        <v>810</v>
      </c>
      <c r="L631" s="3">
        <f t="shared" ca="1" si="65"/>
        <v>765</v>
      </c>
      <c r="M631" t="str">
        <f t="shared" ca="1" si="66"/>
        <v>Overdue</v>
      </c>
      <c r="N631">
        <f t="shared" si="68"/>
        <v>5154.78</v>
      </c>
      <c r="O631" t="str" cm="1">
        <f t="array" aca="1" ref="O631" ca="1">_xlfn.IFS(
L631&lt;=0,"Not Due",
L631&lt;=30,"0–30 Days",
L631&lt;=60,"31–60 Days",
L631&lt;=90,"61–90 Days",
L631&lt;=180,"91–180 Days",
L631&lt;=365,"181–365 Days",
L631&gt;365,"365+ Days (High Risk)"
)</f>
        <v>365+ Days (High Risk)</v>
      </c>
      <c r="P631">
        <f t="shared" si="69"/>
        <v>0</v>
      </c>
      <c r="Q631" s="3">
        <f t="shared" ca="1" si="67"/>
        <v>5154.78</v>
      </c>
    </row>
    <row r="632" spans="1:17" x14ac:dyDescent="0.25">
      <c r="A632" t="s">
        <v>636</v>
      </c>
      <c r="B632" t="s">
        <v>908</v>
      </c>
      <c r="C632" s="1">
        <v>45126</v>
      </c>
      <c r="D632" s="1">
        <v>45171</v>
      </c>
      <c r="E632">
        <v>2001.78</v>
      </c>
      <c r="F632" t="s">
        <v>915</v>
      </c>
      <c r="G632" t="s">
        <v>916</v>
      </c>
      <c r="I632" t="s">
        <v>919</v>
      </c>
      <c r="J632" t="b">
        <f t="shared" si="63"/>
        <v>1</v>
      </c>
      <c r="K632" s="3">
        <f t="shared" ca="1" si="64"/>
        <v>925</v>
      </c>
      <c r="L632" s="3">
        <f t="shared" ca="1" si="65"/>
        <v>880</v>
      </c>
      <c r="M632" t="str">
        <f t="shared" ca="1" si="66"/>
        <v>Overdue</v>
      </c>
      <c r="N632">
        <f t="shared" si="68"/>
        <v>2001.78</v>
      </c>
      <c r="O632" t="str" cm="1">
        <f t="array" aca="1" ref="O632" ca="1">_xlfn.IFS(
L632&lt;=0,"Not Due",
L632&lt;=30,"0–30 Days",
L632&lt;=60,"31–60 Days",
L632&lt;=90,"61–90 Days",
L632&lt;=180,"91–180 Days",
L632&lt;=365,"181–365 Days",
L632&gt;365,"365+ Days (High Risk)"
)</f>
        <v>365+ Days (High Risk)</v>
      </c>
      <c r="P632">
        <f t="shared" si="69"/>
        <v>0</v>
      </c>
      <c r="Q632" s="3">
        <f t="shared" ca="1" si="67"/>
        <v>2001.78</v>
      </c>
    </row>
    <row r="633" spans="1:17" x14ac:dyDescent="0.25">
      <c r="A633" t="s">
        <v>637</v>
      </c>
      <c r="B633" t="s">
        <v>906</v>
      </c>
      <c r="C633" s="1">
        <v>45592</v>
      </c>
      <c r="D633" s="1">
        <v>45637</v>
      </c>
      <c r="E633">
        <v>2090.41</v>
      </c>
      <c r="F633" t="s">
        <v>912</v>
      </c>
      <c r="G633" t="s">
        <v>917</v>
      </c>
      <c r="I633" t="s">
        <v>919</v>
      </c>
      <c r="J633" t="b">
        <f t="shared" si="63"/>
        <v>1</v>
      </c>
      <c r="K633" s="3">
        <f t="shared" ca="1" si="64"/>
        <v>459</v>
      </c>
      <c r="L633" s="3">
        <f t="shared" ca="1" si="65"/>
        <v>414</v>
      </c>
      <c r="M633" t="str">
        <f t="shared" ca="1" si="66"/>
        <v>Overdue</v>
      </c>
      <c r="N633">
        <f t="shared" si="68"/>
        <v>2090.41</v>
      </c>
      <c r="O633" t="str" cm="1">
        <f t="array" aca="1" ref="O633" ca="1">_xlfn.IFS(
L633&lt;=0,"Not Due",
L633&lt;=30,"0–30 Days",
L633&lt;=60,"31–60 Days",
L633&lt;=90,"61–90 Days",
L633&lt;=180,"91–180 Days",
L633&lt;=365,"181–365 Days",
L633&gt;365,"365+ Days (High Risk)"
)</f>
        <v>365+ Days (High Risk)</v>
      </c>
      <c r="P633">
        <f t="shared" si="69"/>
        <v>0</v>
      </c>
      <c r="Q633" s="3">
        <f t="shared" ca="1" si="67"/>
        <v>2090.41</v>
      </c>
    </row>
    <row r="634" spans="1:17" x14ac:dyDescent="0.25">
      <c r="A634" t="s">
        <v>638</v>
      </c>
      <c r="B634" t="s">
        <v>909</v>
      </c>
      <c r="C634" s="1">
        <v>45190</v>
      </c>
      <c r="D634" s="1">
        <v>45235</v>
      </c>
      <c r="E634">
        <v>2713.38</v>
      </c>
      <c r="F634" t="s">
        <v>911</v>
      </c>
      <c r="G634" t="s">
        <v>918</v>
      </c>
      <c r="H634" s="1">
        <v>45235</v>
      </c>
      <c r="I634" t="s">
        <v>919</v>
      </c>
      <c r="J634" t="b">
        <f t="shared" si="63"/>
        <v>0</v>
      </c>
      <c r="K634" s="3">
        <f t="shared" ca="1" si="64"/>
        <v>45</v>
      </c>
      <c r="L634" s="3">
        <f t="shared" ca="1" si="65"/>
        <v>0</v>
      </c>
      <c r="M634" t="str">
        <f t="shared" ca="1" si="66"/>
        <v>On Time</v>
      </c>
      <c r="N634">
        <f t="shared" si="68"/>
        <v>0</v>
      </c>
      <c r="O634" t="str" cm="1">
        <f t="array" aca="1" ref="O634" ca="1">_xlfn.IFS(
L634&lt;=0,"Not Due",
L634&lt;=30,"0–30 Days",
L634&lt;=60,"31–60 Days",
L634&lt;=90,"61–90 Days",
L634&lt;=180,"91–180 Days",
L634&lt;=365,"181–365 Days",
L634&gt;365,"365+ Days (High Risk)"
)</f>
        <v>Not Due</v>
      </c>
      <c r="P634">
        <f t="shared" si="69"/>
        <v>2713.38</v>
      </c>
      <c r="Q634" s="3">
        <f t="shared" ca="1" si="67"/>
        <v>0</v>
      </c>
    </row>
    <row r="635" spans="1:17" x14ac:dyDescent="0.25">
      <c r="A635" t="s">
        <v>639</v>
      </c>
      <c r="B635" t="s">
        <v>908</v>
      </c>
      <c r="C635" s="1">
        <v>45009</v>
      </c>
      <c r="D635" s="1">
        <v>45054</v>
      </c>
      <c r="E635">
        <v>1688.41</v>
      </c>
      <c r="F635" t="s">
        <v>911</v>
      </c>
      <c r="G635" t="s">
        <v>918</v>
      </c>
      <c r="H635" s="1">
        <v>45054</v>
      </c>
      <c r="I635" t="s">
        <v>919</v>
      </c>
      <c r="J635" t="b">
        <f t="shared" si="63"/>
        <v>0</v>
      </c>
      <c r="K635" s="3">
        <f t="shared" ca="1" si="64"/>
        <v>45</v>
      </c>
      <c r="L635" s="3">
        <f t="shared" ca="1" si="65"/>
        <v>0</v>
      </c>
      <c r="M635" t="str">
        <f t="shared" ca="1" si="66"/>
        <v>On Time</v>
      </c>
      <c r="N635">
        <f t="shared" si="68"/>
        <v>0</v>
      </c>
      <c r="O635" t="str" cm="1">
        <f t="array" aca="1" ref="O635" ca="1">_xlfn.IFS(
L635&lt;=0,"Not Due",
L635&lt;=30,"0–30 Days",
L635&lt;=60,"31–60 Days",
L635&lt;=90,"61–90 Days",
L635&lt;=180,"91–180 Days",
L635&lt;=365,"181–365 Days",
L635&gt;365,"365+ Days (High Risk)"
)</f>
        <v>Not Due</v>
      </c>
      <c r="P635">
        <f t="shared" si="69"/>
        <v>1688.41</v>
      </c>
      <c r="Q635" s="3">
        <f t="shared" ca="1" si="67"/>
        <v>0</v>
      </c>
    </row>
    <row r="636" spans="1:17" x14ac:dyDescent="0.25">
      <c r="A636" t="s">
        <v>640</v>
      </c>
      <c r="B636" t="s">
        <v>910</v>
      </c>
      <c r="C636" s="1">
        <v>45108</v>
      </c>
      <c r="D636" s="1">
        <v>45153</v>
      </c>
      <c r="E636">
        <v>7964.05</v>
      </c>
      <c r="F636" t="s">
        <v>915</v>
      </c>
      <c r="G636" t="s">
        <v>916</v>
      </c>
      <c r="I636" t="s">
        <v>919</v>
      </c>
      <c r="J636" t="b">
        <f t="shared" si="63"/>
        <v>1</v>
      </c>
      <c r="K636" s="3">
        <f t="shared" ca="1" si="64"/>
        <v>943</v>
      </c>
      <c r="L636" s="3">
        <f t="shared" ca="1" si="65"/>
        <v>898</v>
      </c>
      <c r="M636" t="str">
        <f t="shared" ca="1" si="66"/>
        <v>Overdue</v>
      </c>
      <c r="N636">
        <f t="shared" si="68"/>
        <v>7964.05</v>
      </c>
      <c r="O636" t="str" cm="1">
        <f t="array" aca="1" ref="O636" ca="1">_xlfn.IFS(
L636&lt;=0,"Not Due",
L636&lt;=30,"0–30 Days",
L636&lt;=60,"31–60 Days",
L636&lt;=90,"61–90 Days",
L636&lt;=180,"91–180 Days",
L636&lt;=365,"181–365 Days",
L636&gt;365,"365+ Days (High Risk)"
)</f>
        <v>365+ Days (High Risk)</v>
      </c>
      <c r="P636">
        <f t="shared" si="69"/>
        <v>0</v>
      </c>
      <c r="Q636" s="3">
        <f t="shared" ca="1" si="67"/>
        <v>7964.05</v>
      </c>
    </row>
    <row r="637" spans="1:17" x14ac:dyDescent="0.25">
      <c r="A637" t="s">
        <v>641</v>
      </c>
      <c r="B637" t="s">
        <v>908</v>
      </c>
      <c r="C637" s="1">
        <v>45760</v>
      </c>
      <c r="D637" s="1">
        <v>45805</v>
      </c>
      <c r="E637">
        <v>1540.79</v>
      </c>
      <c r="F637" t="s">
        <v>911</v>
      </c>
      <c r="G637" t="s">
        <v>917</v>
      </c>
      <c r="I637" t="s">
        <v>919</v>
      </c>
      <c r="J637" t="b">
        <f t="shared" si="63"/>
        <v>1</v>
      </c>
      <c r="K637" s="3">
        <f t="shared" ca="1" si="64"/>
        <v>291</v>
      </c>
      <c r="L637" s="3">
        <f t="shared" ca="1" si="65"/>
        <v>246</v>
      </c>
      <c r="M637" t="str">
        <f t="shared" ca="1" si="66"/>
        <v>Overdue</v>
      </c>
      <c r="N637">
        <f t="shared" si="68"/>
        <v>1540.79</v>
      </c>
      <c r="O637" t="str" cm="1">
        <f t="array" aca="1" ref="O637" ca="1">_xlfn.IFS(
L637&lt;=0,"Not Due",
L637&lt;=30,"0–30 Days",
L637&lt;=60,"31–60 Days",
L637&lt;=90,"61–90 Days",
L637&lt;=180,"91–180 Days",
L637&lt;=365,"181–365 Days",
L637&gt;365,"365+ Days (High Risk)"
)</f>
        <v>181–365 Days</v>
      </c>
      <c r="P637">
        <f t="shared" si="69"/>
        <v>0</v>
      </c>
      <c r="Q637" s="3">
        <f t="shared" ca="1" si="67"/>
        <v>1540.79</v>
      </c>
    </row>
    <row r="638" spans="1:17" x14ac:dyDescent="0.25">
      <c r="A638" t="s">
        <v>642</v>
      </c>
      <c r="B638" t="s">
        <v>909</v>
      </c>
      <c r="C638" s="1">
        <v>45768</v>
      </c>
      <c r="D638" s="1">
        <v>45813</v>
      </c>
      <c r="E638">
        <v>1933.33</v>
      </c>
      <c r="F638" t="s">
        <v>911</v>
      </c>
      <c r="G638" t="s">
        <v>917</v>
      </c>
      <c r="I638" t="s">
        <v>919</v>
      </c>
      <c r="J638" t="b">
        <f t="shared" si="63"/>
        <v>1</v>
      </c>
      <c r="K638" s="3">
        <f t="shared" ca="1" si="64"/>
        <v>283</v>
      </c>
      <c r="L638" s="3">
        <f t="shared" ca="1" si="65"/>
        <v>238</v>
      </c>
      <c r="M638" t="str">
        <f t="shared" ca="1" si="66"/>
        <v>Overdue</v>
      </c>
      <c r="N638">
        <f t="shared" si="68"/>
        <v>1933.33</v>
      </c>
      <c r="O638" t="str" cm="1">
        <f t="array" aca="1" ref="O638" ca="1">_xlfn.IFS(
L638&lt;=0,"Not Due",
L638&lt;=30,"0–30 Days",
L638&lt;=60,"31–60 Days",
L638&lt;=90,"61–90 Days",
L638&lt;=180,"91–180 Days",
L638&lt;=365,"181–365 Days",
L638&gt;365,"365+ Days (High Risk)"
)</f>
        <v>181–365 Days</v>
      </c>
      <c r="P638">
        <f t="shared" si="69"/>
        <v>0</v>
      </c>
      <c r="Q638" s="3">
        <f t="shared" ca="1" si="67"/>
        <v>1933.33</v>
      </c>
    </row>
    <row r="639" spans="1:17" x14ac:dyDescent="0.25">
      <c r="A639" t="s">
        <v>643</v>
      </c>
      <c r="B639" t="s">
        <v>907</v>
      </c>
      <c r="C639" s="1">
        <v>45171</v>
      </c>
      <c r="D639" s="1">
        <v>45216</v>
      </c>
      <c r="E639">
        <v>458.58</v>
      </c>
      <c r="F639" t="s">
        <v>913</v>
      </c>
      <c r="G639" t="s">
        <v>917</v>
      </c>
      <c r="I639" t="s">
        <v>919</v>
      </c>
      <c r="J639" t="b">
        <f t="shared" si="63"/>
        <v>1</v>
      </c>
      <c r="K639" s="3">
        <f t="shared" ca="1" si="64"/>
        <v>880</v>
      </c>
      <c r="L639" s="3">
        <f t="shared" ca="1" si="65"/>
        <v>835</v>
      </c>
      <c r="M639" t="str">
        <f t="shared" ca="1" si="66"/>
        <v>Overdue</v>
      </c>
      <c r="N639">
        <f t="shared" si="68"/>
        <v>458.58</v>
      </c>
      <c r="O639" t="str" cm="1">
        <f t="array" aca="1" ref="O639" ca="1">_xlfn.IFS(
L639&lt;=0,"Not Due",
L639&lt;=30,"0–30 Days",
L639&lt;=60,"31–60 Days",
L639&lt;=90,"61–90 Days",
L639&lt;=180,"91–180 Days",
L639&lt;=365,"181–365 Days",
L639&gt;365,"365+ Days (High Risk)"
)</f>
        <v>365+ Days (High Risk)</v>
      </c>
      <c r="P639">
        <f t="shared" si="69"/>
        <v>0</v>
      </c>
      <c r="Q639" s="3">
        <f t="shared" ca="1" si="67"/>
        <v>458.58</v>
      </c>
    </row>
    <row r="640" spans="1:17" x14ac:dyDescent="0.25">
      <c r="A640" t="s">
        <v>644</v>
      </c>
      <c r="B640" t="s">
        <v>909</v>
      </c>
      <c r="C640" s="1">
        <v>45837</v>
      </c>
      <c r="D640" s="1">
        <v>45882</v>
      </c>
      <c r="E640">
        <v>5760.56</v>
      </c>
      <c r="F640" t="s">
        <v>911</v>
      </c>
      <c r="G640" t="s">
        <v>916</v>
      </c>
      <c r="I640" t="s">
        <v>919</v>
      </c>
      <c r="J640" t="b">
        <f t="shared" si="63"/>
        <v>1</v>
      </c>
      <c r="K640" s="3">
        <f t="shared" ca="1" si="64"/>
        <v>214</v>
      </c>
      <c r="L640" s="3">
        <f t="shared" ca="1" si="65"/>
        <v>169</v>
      </c>
      <c r="M640" t="str">
        <f t="shared" ca="1" si="66"/>
        <v>Overdue</v>
      </c>
      <c r="N640">
        <f t="shared" si="68"/>
        <v>5760.56</v>
      </c>
      <c r="O640" t="str" cm="1">
        <f t="array" aca="1" ref="O640" ca="1">_xlfn.IFS(
L640&lt;=0,"Not Due",
L640&lt;=30,"0–30 Days",
L640&lt;=60,"31–60 Days",
L640&lt;=90,"61–90 Days",
L640&lt;=180,"91–180 Days",
L640&lt;=365,"181–365 Days",
L640&gt;365,"365+ Days (High Risk)"
)</f>
        <v>91–180 Days</v>
      </c>
      <c r="P640">
        <f t="shared" si="69"/>
        <v>0</v>
      </c>
      <c r="Q640" s="3">
        <f t="shared" ca="1" si="67"/>
        <v>5760.56</v>
      </c>
    </row>
    <row r="641" spans="1:17" x14ac:dyDescent="0.25">
      <c r="A641" t="s">
        <v>645</v>
      </c>
      <c r="B641" t="s">
        <v>907</v>
      </c>
      <c r="C641" s="1">
        <v>45817</v>
      </c>
      <c r="D641" s="1">
        <v>45862</v>
      </c>
      <c r="E641">
        <v>1719.86</v>
      </c>
      <c r="F641" t="s">
        <v>912</v>
      </c>
      <c r="G641" t="s">
        <v>916</v>
      </c>
      <c r="I641" t="s">
        <v>919</v>
      </c>
      <c r="J641" t="b">
        <f t="shared" si="63"/>
        <v>1</v>
      </c>
      <c r="K641" s="3">
        <f t="shared" ca="1" si="64"/>
        <v>234</v>
      </c>
      <c r="L641" s="3">
        <f t="shared" ca="1" si="65"/>
        <v>189</v>
      </c>
      <c r="M641" t="str">
        <f t="shared" ca="1" si="66"/>
        <v>Overdue</v>
      </c>
      <c r="N641">
        <f t="shared" si="68"/>
        <v>1719.86</v>
      </c>
      <c r="O641" t="str" cm="1">
        <f t="array" aca="1" ref="O641" ca="1">_xlfn.IFS(
L641&lt;=0,"Not Due",
L641&lt;=30,"0–30 Days",
L641&lt;=60,"31–60 Days",
L641&lt;=90,"61–90 Days",
L641&lt;=180,"91–180 Days",
L641&lt;=365,"181–365 Days",
L641&gt;365,"365+ Days (High Risk)"
)</f>
        <v>181–365 Days</v>
      </c>
      <c r="P641">
        <f t="shared" si="69"/>
        <v>0</v>
      </c>
      <c r="Q641" s="3">
        <f t="shared" ca="1" si="67"/>
        <v>1719.86</v>
      </c>
    </row>
    <row r="642" spans="1:17" x14ac:dyDescent="0.25">
      <c r="A642" t="s">
        <v>646</v>
      </c>
      <c r="B642" t="s">
        <v>909</v>
      </c>
      <c r="C642" s="1">
        <v>45725</v>
      </c>
      <c r="D642" s="1">
        <v>45770</v>
      </c>
      <c r="E642">
        <v>6756.99</v>
      </c>
      <c r="F642" t="s">
        <v>912</v>
      </c>
      <c r="G642" t="s">
        <v>916</v>
      </c>
      <c r="I642" t="s">
        <v>919</v>
      </c>
      <c r="J642" t="b">
        <f t="shared" ref="J642:J705" si="70">ISBLANK(H642)</f>
        <v>1</v>
      </c>
      <c r="K642" s="3">
        <f t="shared" ref="K642:K705" ca="1" si="71">IF(G642="Received",
IF(H642="",TODAY()-C642,H642-C642),
TODAY()-C642)</f>
        <v>326</v>
      </c>
      <c r="L642" s="3">
        <f t="shared" ref="L642:L705" ca="1" si="72">IF(N642=0,0,TODAY()-D642)</f>
        <v>281</v>
      </c>
      <c r="M642" t="str">
        <f t="shared" ref="M642:M705" ca="1" si="73">IF(L642&gt;0,"Overdue","On Time")</f>
        <v>Overdue</v>
      </c>
      <c r="N642">
        <f t="shared" si="68"/>
        <v>6756.99</v>
      </c>
      <c r="O642" t="str" cm="1">
        <f t="array" aca="1" ref="O642" ca="1">_xlfn.IFS(
L642&lt;=0,"Not Due",
L642&lt;=30,"0–30 Days",
L642&lt;=60,"31–60 Days",
L642&lt;=90,"61–90 Days",
L642&lt;=180,"91–180 Days",
L642&lt;=365,"181–365 Days",
L642&gt;365,"365+ Days (High Risk)"
)</f>
        <v>181–365 Days</v>
      </c>
      <c r="P642">
        <f t="shared" si="69"/>
        <v>0</v>
      </c>
      <c r="Q642" s="3">
        <f t="shared" ref="Q642:Q705" ca="1" si="74">IF(L642&gt;0, N642, 0)</f>
        <v>6756.99</v>
      </c>
    </row>
    <row r="643" spans="1:17" x14ac:dyDescent="0.25">
      <c r="A643" t="s">
        <v>647</v>
      </c>
      <c r="B643" t="s">
        <v>906</v>
      </c>
      <c r="C643" s="1">
        <v>45606</v>
      </c>
      <c r="D643" s="1">
        <v>45651</v>
      </c>
      <c r="E643">
        <v>4654.32</v>
      </c>
      <c r="F643" t="s">
        <v>914</v>
      </c>
      <c r="G643" t="s">
        <v>917</v>
      </c>
      <c r="I643" t="s">
        <v>919</v>
      </c>
      <c r="J643" t="b">
        <f t="shared" si="70"/>
        <v>1</v>
      </c>
      <c r="K643" s="3">
        <f t="shared" ca="1" si="71"/>
        <v>445</v>
      </c>
      <c r="L643" s="3">
        <f t="shared" ca="1" si="72"/>
        <v>400</v>
      </c>
      <c r="M643" t="str">
        <f t="shared" ca="1" si="73"/>
        <v>Overdue</v>
      </c>
      <c r="N643">
        <f t="shared" ref="N643:N706" si="75">IF(G643="Received",0,E643)</f>
        <v>4654.32</v>
      </c>
      <c r="O643" t="str" cm="1">
        <f t="array" aca="1" ref="O643" ca="1">_xlfn.IFS(
L643&lt;=0,"Not Due",
L643&lt;=30,"0–30 Days",
L643&lt;=60,"31–60 Days",
L643&lt;=90,"61–90 Days",
L643&lt;=180,"91–180 Days",
L643&lt;=365,"181–365 Days",
L643&gt;365,"365+ Days (High Risk)"
)</f>
        <v>365+ Days (High Risk)</v>
      </c>
      <c r="P643">
        <f t="shared" ref="P643:P706" si="76">E643-N643</f>
        <v>0</v>
      </c>
      <c r="Q643" s="3">
        <f t="shared" ca="1" si="74"/>
        <v>4654.32</v>
      </c>
    </row>
    <row r="644" spans="1:17" x14ac:dyDescent="0.25">
      <c r="A644" t="s">
        <v>648</v>
      </c>
      <c r="B644" t="s">
        <v>909</v>
      </c>
      <c r="C644" s="1">
        <v>45571</v>
      </c>
      <c r="D644" s="1">
        <v>45616</v>
      </c>
      <c r="E644">
        <v>3915.77</v>
      </c>
      <c r="F644" t="s">
        <v>911</v>
      </c>
      <c r="G644" t="s">
        <v>917</v>
      </c>
      <c r="I644" t="s">
        <v>919</v>
      </c>
      <c r="J644" t="b">
        <f t="shared" si="70"/>
        <v>1</v>
      </c>
      <c r="K644" s="3">
        <f t="shared" ca="1" si="71"/>
        <v>480</v>
      </c>
      <c r="L644" s="3">
        <f t="shared" ca="1" si="72"/>
        <v>435</v>
      </c>
      <c r="M644" t="str">
        <f t="shared" ca="1" si="73"/>
        <v>Overdue</v>
      </c>
      <c r="N644">
        <f t="shared" si="75"/>
        <v>3915.77</v>
      </c>
      <c r="O644" t="str" cm="1">
        <f t="array" aca="1" ref="O644" ca="1">_xlfn.IFS(
L644&lt;=0,"Not Due",
L644&lt;=30,"0–30 Days",
L644&lt;=60,"31–60 Days",
L644&lt;=90,"61–90 Days",
L644&lt;=180,"91–180 Days",
L644&lt;=365,"181–365 Days",
L644&gt;365,"365+ Days (High Risk)"
)</f>
        <v>365+ Days (High Risk)</v>
      </c>
      <c r="P644">
        <f t="shared" si="76"/>
        <v>0</v>
      </c>
      <c r="Q644" s="3">
        <f t="shared" ca="1" si="74"/>
        <v>3915.77</v>
      </c>
    </row>
    <row r="645" spans="1:17" x14ac:dyDescent="0.25">
      <c r="A645" t="s">
        <v>649</v>
      </c>
      <c r="B645" t="s">
        <v>910</v>
      </c>
      <c r="C645" s="1">
        <v>45800</v>
      </c>
      <c r="D645" s="1">
        <v>45845</v>
      </c>
      <c r="E645">
        <v>1446.12</v>
      </c>
      <c r="F645" t="s">
        <v>911</v>
      </c>
      <c r="G645" t="s">
        <v>918</v>
      </c>
      <c r="H645" s="1">
        <v>45845</v>
      </c>
      <c r="I645" t="s">
        <v>919</v>
      </c>
      <c r="J645" t="b">
        <f t="shared" si="70"/>
        <v>0</v>
      </c>
      <c r="K645" s="3">
        <f t="shared" ca="1" si="71"/>
        <v>45</v>
      </c>
      <c r="L645" s="3">
        <f t="shared" ca="1" si="72"/>
        <v>0</v>
      </c>
      <c r="M645" t="str">
        <f t="shared" ca="1" si="73"/>
        <v>On Time</v>
      </c>
      <c r="N645">
        <f t="shared" si="75"/>
        <v>0</v>
      </c>
      <c r="O645" t="str" cm="1">
        <f t="array" aca="1" ref="O645" ca="1">_xlfn.IFS(
L645&lt;=0,"Not Due",
L645&lt;=30,"0–30 Days",
L645&lt;=60,"31–60 Days",
L645&lt;=90,"61–90 Days",
L645&lt;=180,"91–180 Days",
L645&lt;=365,"181–365 Days",
L645&gt;365,"365+ Days (High Risk)"
)</f>
        <v>Not Due</v>
      </c>
      <c r="P645">
        <f t="shared" si="76"/>
        <v>1446.12</v>
      </c>
      <c r="Q645" s="3">
        <f t="shared" ca="1" si="74"/>
        <v>0</v>
      </c>
    </row>
    <row r="646" spans="1:17" x14ac:dyDescent="0.25">
      <c r="A646" t="s">
        <v>650</v>
      </c>
      <c r="B646" t="s">
        <v>910</v>
      </c>
      <c r="C646" s="1">
        <v>45454</v>
      </c>
      <c r="D646" s="1">
        <v>45499</v>
      </c>
      <c r="E646">
        <v>3333.72</v>
      </c>
      <c r="F646" t="s">
        <v>914</v>
      </c>
      <c r="G646" t="s">
        <v>918</v>
      </c>
      <c r="H646" s="1">
        <v>45499</v>
      </c>
      <c r="I646" t="s">
        <v>919</v>
      </c>
      <c r="J646" t="b">
        <f t="shared" si="70"/>
        <v>0</v>
      </c>
      <c r="K646" s="3">
        <f t="shared" ca="1" si="71"/>
        <v>45</v>
      </c>
      <c r="L646" s="3">
        <f t="shared" ca="1" si="72"/>
        <v>0</v>
      </c>
      <c r="M646" t="str">
        <f t="shared" ca="1" si="73"/>
        <v>On Time</v>
      </c>
      <c r="N646">
        <f t="shared" si="75"/>
        <v>0</v>
      </c>
      <c r="O646" t="str" cm="1">
        <f t="array" aca="1" ref="O646" ca="1">_xlfn.IFS(
L646&lt;=0,"Not Due",
L646&lt;=30,"0–30 Days",
L646&lt;=60,"31–60 Days",
L646&lt;=90,"61–90 Days",
L646&lt;=180,"91–180 Days",
L646&lt;=365,"181–365 Days",
L646&gt;365,"365+ Days (High Risk)"
)</f>
        <v>Not Due</v>
      </c>
      <c r="P646">
        <f t="shared" si="76"/>
        <v>3333.72</v>
      </c>
      <c r="Q646" s="3">
        <f t="shared" ca="1" si="74"/>
        <v>0</v>
      </c>
    </row>
    <row r="647" spans="1:17" x14ac:dyDescent="0.25">
      <c r="A647" t="s">
        <v>651</v>
      </c>
      <c r="B647" t="s">
        <v>910</v>
      </c>
      <c r="C647" s="1">
        <v>45062</v>
      </c>
      <c r="D647" s="1">
        <v>45107</v>
      </c>
      <c r="E647">
        <v>6396.64</v>
      </c>
      <c r="F647" t="s">
        <v>911</v>
      </c>
      <c r="G647" t="s">
        <v>918</v>
      </c>
      <c r="H647" s="1">
        <v>45107</v>
      </c>
      <c r="I647" t="s">
        <v>919</v>
      </c>
      <c r="J647" t="b">
        <f t="shared" si="70"/>
        <v>0</v>
      </c>
      <c r="K647" s="3">
        <f t="shared" ca="1" si="71"/>
        <v>45</v>
      </c>
      <c r="L647" s="3">
        <f t="shared" ca="1" si="72"/>
        <v>0</v>
      </c>
      <c r="M647" t="str">
        <f t="shared" ca="1" si="73"/>
        <v>On Time</v>
      </c>
      <c r="N647">
        <f t="shared" si="75"/>
        <v>0</v>
      </c>
      <c r="O647" t="str" cm="1">
        <f t="array" aca="1" ref="O647" ca="1">_xlfn.IFS(
L647&lt;=0,"Not Due",
L647&lt;=30,"0–30 Days",
L647&lt;=60,"31–60 Days",
L647&lt;=90,"61–90 Days",
L647&lt;=180,"91–180 Days",
L647&lt;=365,"181–365 Days",
L647&gt;365,"365+ Days (High Risk)"
)</f>
        <v>Not Due</v>
      </c>
      <c r="P647">
        <f t="shared" si="76"/>
        <v>6396.64</v>
      </c>
      <c r="Q647" s="3">
        <f t="shared" ca="1" si="74"/>
        <v>0</v>
      </c>
    </row>
    <row r="648" spans="1:17" x14ac:dyDescent="0.25">
      <c r="A648" t="s">
        <v>652</v>
      </c>
      <c r="B648" t="s">
        <v>909</v>
      </c>
      <c r="C648" s="1">
        <v>45524</v>
      </c>
      <c r="D648" s="1">
        <v>45569</v>
      </c>
      <c r="E648">
        <v>745.71</v>
      </c>
      <c r="F648" t="s">
        <v>913</v>
      </c>
      <c r="G648" t="s">
        <v>917</v>
      </c>
      <c r="I648" t="s">
        <v>919</v>
      </c>
      <c r="J648" t="b">
        <f t="shared" si="70"/>
        <v>1</v>
      </c>
      <c r="K648" s="3">
        <f t="shared" ca="1" si="71"/>
        <v>527</v>
      </c>
      <c r="L648" s="3">
        <f t="shared" ca="1" si="72"/>
        <v>482</v>
      </c>
      <c r="M648" t="str">
        <f t="shared" ca="1" si="73"/>
        <v>Overdue</v>
      </c>
      <c r="N648">
        <f t="shared" si="75"/>
        <v>745.71</v>
      </c>
      <c r="O648" t="str" cm="1">
        <f t="array" aca="1" ref="O648" ca="1">_xlfn.IFS(
L648&lt;=0,"Not Due",
L648&lt;=30,"0–30 Days",
L648&lt;=60,"31–60 Days",
L648&lt;=90,"61–90 Days",
L648&lt;=180,"91–180 Days",
L648&lt;=365,"181–365 Days",
L648&gt;365,"365+ Days (High Risk)"
)</f>
        <v>365+ Days (High Risk)</v>
      </c>
      <c r="P648">
        <f t="shared" si="76"/>
        <v>0</v>
      </c>
      <c r="Q648" s="3">
        <f t="shared" ca="1" si="74"/>
        <v>745.71</v>
      </c>
    </row>
    <row r="649" spans="1:17" x14ac:dyDescent="0.25">
      <c r="A649" t="s">
        <v>653</v>
      </c>
      <c r="B649" t="s">
        <v>909</v>
      </c>
      <c r="C649" s="1">
        <v>45503</v>
      </c>
      <c r="D649" s="1">
        <v>45548</v>
      </c>
      <c r="E649">
        <v>2882.56</v>
      </c>
      <c r="F649" t="s">
        <v>913</v>
      </c>
      <c r="G649" t="s">
        <v>918</v>
      </c>
      <c r="H649" s="1">
        <v>45548</v>
      </c>
      <c r="I649" t="s">
        <v>919</v>
      </c>
      <c r="J649" t="b">
        <f t="shared" si="70"/>
        <v>0</v>
      </c>
      <c r="K649" s="3">
        <f t="shared" ca="1" si="71"/>
        <v>45</v>
      </c>
      <c r="L649" s="3">
        <f t="shared" ca="1" si="72"/>
        <v>0</v>
      </c>
      <c r="M649" t="str">
        <f t="shared" ca="1" si="73"/>
        <v>On Time</v>
      </c>
      <c r="N649">
        <f t="shared" si="75"/>
        <v>0</v>
      </c>
      <c r="O649" t="str" cm="1">
        <f t="array" aca="1" ref="O649" ca="1">_xlfn.IFS(
L649&lt;=0,"Not Due",
L649&lt;=30,"0–30 Days",
L649&lt;=60,"31–60 Days",
L649&lt;=90,"61–90 Days",
L649&lt;=180,"91–180 Days",
L649&lt;=365,"181–365 Days",
L649&gt;365,"365+ Days (High Risk)"
)</f>
        <v>Not Due</v>
      </c>
      <c r="P649">
        <f t="shared" si="76"/>
        <v>2882.56</v>
      </c>
      <c r="Q649" s="3">
        <f t="shared" ca="1" si="74"/>
        <v>0</v>
      </c>
    </row>
    <row r="650" spans="1:17" x14ac:dyDescent="0.25">
      <c r="A650" t="s">
        <v>654</v>
      </c>
      <c r="B650" t="s">
        <v>906</v>
      </c>
      <c r="C650" s="1">
        <v>45186</v>
      </c>
      <c r="D650" s="1">
        <v>45231</v>
      </c>
      <c r="E650">
        <v>4831.9799999999996</v>
      </c>
      <c r="F650" t="s">
        <v>911</v>
      </c>
      <c r="G650" t="s">
        <v>917</v>
      </c>
      <c r="I650" t="s">
        <v>919</v>
      </c>
      <c r="J650" t="b">
        <f t="shared" si="70"/>
        <v>1</v>
      </c>
      <c r="K650" s="3">
        <f t="shared" ca="1" si="71"/>
        <v>865</v>
      </c>
      <c r="L650" s="3">
        <f t="shared" ca="1" si="72"/>
        <v>820</v>
      </c>
      <c r="M650" t="str">
        <f t="shared" ca="1" si="73"/>
        <v>Overdue</v>
      </c>
      <c r="N650">
        <f t="shared" si="75"/>
        <v>4831.9799999999996</v>
      </c>
      <c r="O650" t="str" cm="1">
        <f t="array" aca="1" ref="O650" ca="1">_xlfn.IFS(
L650&lt;=0,"Not Due",
L650&lt;=30,"0–30 Days",
L650&lt;=60,"31–60 Days",
L650&lt;=90,"61–90 Days",
L650&lt;=180,"91–180 Days",
L650&lt;=365,"181–365 Days",
L650&gt;365,"365+ Days (High Risk)"
)</f>
        <v>365+ Days (High Risk)</v>
      </c>
      <c r="P650">
        <f t="shared" si="76"/>
        <v>0</v>
      </c>
      <c r="Q650" s="3">
        <f t="shared" ca="1" si="74"/>
        <v>4831.9799999999996</v>
      </c>
    </row>
    <row r="651" spans="1:17" x14ac:dyDescent="0.25">
      <c r="A651" t="s">
        <v>655</v>
      </c>
      <c r="B651" t="s">
        <v>907</v>
      </c>
      <c r="C651" s="1">
        <v>44929</v>
      </c>
      <c r="D651" s="1">
        <v>44974</v>
      </c>
      <c r="E651">
        <v>1606.99</v>
      </c>
      <c r="F651" t="s">
        <v>913</v>
      </c>
      <c r="G651" t="s">
        <v>917</v>
      </c>
      <c r="I651" t="s">
        <v>919</v>
      </c>
      <c r="J651" t="b">
        <f t="shared" si="70"/>
        <v>1</v>
      </c>
      <c r="K651" s="3">
        <f t="shared" ca="1" si="71"/>
        <v>1122</v>
      </c>
      <c r="L651" s="3">
        <f t="shared" ca="1" si="72"/>
        <v>1077</v>
      </c>
      <c r="M651" t="str">
        <f t="shared" ca="1" si="73"/>
        <v>Overdue</v>
      </c>
      <c r="N651">
        <f t="shared" si="75"/>
        <v>1606.99</v>
      </c>
      <c r="O651" t="str" cm="1">
        <f t="array" aca="1" ref="O651" ca="1">_xlfn.IFS(
L651&lt;=0,"Not Due",
L651&lt;=30,"0–30 Days",
L651&lt;=60,"31–60 Days",
L651&lt;=90,"61–90 Days",
L651&lt;=180,"91–180 Days",
L651&lt;=365,"181–365 Days",
L651&gt;365,"365+ Days (High Risk)"
)</f>
        <v>365+ Days (High Risk)</v>
      </c>
      <c r="P651">
        <f t="shared" si="76"/>
        <v>0</v>
      </c>
      <c r="Q651" s="3">
        <f t="shared" ca="1" si="74"/>
        <v>1606.99</v>
      </c>
    </row>
    <row r="652" spans="1:17" x14ac:dyDescent="0.25">
      <c r="A652" t="s">
        <v>656</v>
      </c>
      <c r="B652" t="s">
        <v>909</v>
      </c>
      <c r="C652" s="1">
        <v>44933</v>
      </c>
      <c r="D652" s="1">
        <v>44978</v>
      </c>
      <c r="E652">
        <v>243.81</v>
      </c>
      <c r="F652" t="s">
        <v>913</v>
      </c>
      <c r="G652" t="s">
        <v>917</v>
      </c>
      <c r="I652" t="s">
        <v>919</v>
      </c>
      <c r="J652" t="b">
        <f t="shared" si="70"/>
        <v>1</v>
      </c>
      <c r="K652" s="3">
        <f t="shared" ca="1" si="71"/>
        <v>1118</v>
      </c>
      <c r="L652" s="3">
        <f t="shared" ca="1" si="72"/>
        <v>1073</v>
      </c>
      <c r="M652" t="str">
        <f t="shared" ca="1" si="73"/>
        <v>Overdue</v>
      </c>
      <c r="N652">
        <f t="shared" si="75"/>
        <v>243.81</v>
      </c>
      <c r="O652" t="str" cm="1">
        <f t="array" aca="1" ref="O652" ca="1">_xlfn.IFS(
L652&lt;=0,"Not Due",
L652&lt;=30,"0–30 Days",
L652&lt;=60,"31–60 Days",
L652&lt;=90,"61–90 Days",
L652&lt;=180,"91–180 Days",
L652&lt;=365,"181–365 Days",
L652&gt;365,"365+ Days (High Risk)"
)</f>
        <v>365+ Days (High Risk)</v>
      </c>
      <c r="P652">
        <f t="shared" si="76"/>
        <v>0</v>
      </c>
      <c r="Q652" s="3">
        <f t="shared" ca="1" si="74"/>
        <v>243.81</v>
      </c>
    </row>
    <row r="653" spans="1:17" x14ac:dyDescent="0.25">
      <c r="A653" t="s">
        <v>657</v>
      </c>
      <c r="B653" t="s">
        <v>907</v>
      </c>
      <c r="C653" s="1">
        <v>45741</v>
      </c>
      <c r="D653" s="1">
        <v>45786</v>
      </c>
      <c r="E653">
        <v>3008.8</v>
      </c>
      <c r="F653" t="s">
        <v>914</v>
      </c>
      <c r="G653" t="s">
        <v>918</v>
      </c>
      <c r="H653" s="1">
        <v>45786</v>
      </c>
      <c r="I653" t="s">
        <v>919</v>
      </c>
      <c r="J653" t="b">
        <f t="shared" si="70"/>
        <v>0</v>
      </c>
      <c r="K653" s="3">
        <f t="shared" ca="1" si="71"/>
        <v>45</v>
      </c>
      <c r="L653" s="3">
        <f t="shared" ca="1" si="72"/>
        <v>0</v>
      </c>
      <c r="M653" t="str">
        <f t="shared" ca="1" si="73"/>
        <v>On Time</v>
      </c>
      <c r="N653">
        <f t="shared" si="75"/>
        <v>0</v>
      </c>
      <c r="O653" t="str" cm="1">
        <f t="array" aca="1" ref="O653" ca="1">_xlfn.IFS(
L653&lt;=0,"Not Due",
L653&lt;=30,"0–30 Days",
L653&lt;=60,"31–60 Days",
L653&lt;=90,"61–90 Days",
L653&lt;=180,"91–180 Days",
L653&lt;=365,"181–365 Days",
L653&gt;365,"365+ Days (High Risk)"
)</f>
        <v>Not Due</v>
      </c>
      <c r="P653">
        <f t="shared" si="76"/>
        <v>3008.8</v>
      </c>
      <c r="Q653" s="3">
        <f t="shared" ca="1" si="74"/>
        <v>0</v>
      </c>
    </row>
    <row r="654" spans="1:17" x14ac:dyDescent="0.25">
      <c r="A654" t="s">
        <v>658</v>
      </c>
      <c r="B654" t="s">
        <v>910</v>
      </c>
      <c r="C654" s="1">
        <v>44957</v>
      </c>
      <c r="D654" s="1">
        <v>45002</v>
      </c>
      <c r="E654">
        <v>6453.32</v>
      </c>
      <c r="F654" t="s">
        <v>914</v>
      </c>
      <c r="G654" t="s">
        <v>918</v>
      </c>
      <c r="H654" s="1">
        <v>45002</v>
      </c>
      <c r="I654" t="s">
        <v>919</v>
      </c>
      <c r="J654" t="b">
        <f t="shared" si="70"/>
        <v>0</v>
      </c>
      <c r="K654" s="3">
        <f t="shared" ca="1" si="71"/>
        <v>45</v>
      </c>
      <c r="L654" s="3">
        <f t="shared" ca="1" si="72"/>
        <v>0</v>
      </c>
      <c r="M654" t="str">
        <f t="shared" ca="1" si="73"/>
        <v>On Time</v>
      </c>
      <c r="N654">
        <f t="shared" si="75"/>
        <v>0</v>
      </c>
      <c r="O654" t="str" cm="1">
        <f t="array" aca="1" ref="O654" ca="1">_xlfn.IFS(
L654&lt;=0,"Not Due",
L654&lt;=30,"0–30 Days",
L654&lt;=60,"31–60 Days",
L654&lt;=90,"61–90 Days",
L654&lt;=180,"91–180 Days",
L654&lt;=365,"181–365 Days",
L654&gt;365,"365+ Days (High Risk)"
)</f>
        <v>Not Due</v>
      </c>
      <c r="P654">
        <f t="shared" si="76"/>
        <v>6453.32</v>
      </c>
      <c r="Q654" s="3">
        <f t="shared" ca="1" si="74"/>
        <v>0</v>
      </c>
    </row>
    <row r="655" spans="1:17" x14ac:dyDescent="0.25">
      <c r="A655" t="s">
        <v>659</v>
      </c>
      <c r="B655" t="s">
        <v>910</v>
      </c>
      <c r="C655" s="1">
        <v>45528</v>
      </c>
      <c r="D655" s="1">
        <v>45573</v>
      </c>
      <c r="E655">
        <v>6816.1</v>
      </c>
      <c r="F655" t="s">
        <v>913</v>
      </c>
      <c r="G655" t="s">
        <v>916</v>
      </c>
      <c r="I655" t="s">
        <v>919</v>
      </c>
      <c r="J655" t="b">
        <f t="shared" si="70"/>
        <v>1</v>
      </c>
      <c r="K655" s="3">
        <f t="shared" ca="1" si="71"/>
        <v>523</v>
      </c>
      <c r="L655" s="3">
        <f t="shared" ca="1" si="72"/>
        <v>478</v>
      </c>
      <c r="M655" t="str">
        <f t="shared" ca="1" si="73"/>
        <v>Overdue</v>
      </c>
      <c r="N655">
        <f t="shared" si="75"/>
        <v>6816.1</v>
      </c>
      <c r="O655" t="str" cm="1">
        <f t="array" aca="1" ref="O655" ca="1">_xlfn.IFS(
L655&lt;=0,"Not Due",
L655&lt;=30,"0–30 Days",
L655&lt;=60,"31–60 Days",
L655&lt;=90,"61–90 Days",
L655&lt;=180,"91–180 Days",
L655&lt;=365,"181–365 Days",
L655&gt;365,"365+ Days (High Risk)"
)</f>
        <v>365+ Days (High Risk)</v>
      </c>
      <c r="P655">
        <f t="shared" si="76"/>
        <v>0</v>
      </c>
      <c r="Q655" s="3">
        <f t="shared" ca="1" si="74"/>
        <v>6816.1</v>
      </c>
    </row>
    <row r="656" spans="1:17" x14ac:dyDescent="0.25">
      <c r="A656" t="s">
        <v>660</v>
      </c>
      <c r="B656" t="s">
        <v>906</v>
      </c>
      <c r="C656" s="1">
        <v>45140</v>
      </c>
      <c r="D656" s="1">
        <v>45185</v>
      </c>
      <c r="E656">
        <v>3940.19</v>
      </c>
      <c r="F656" t="s">
        <v>915</v>
      </c>
      <c r="G656" t="s">
        <v>917</v>
      </c>
      <c r="I656" t="s">
        <v>919</v>
      </c>
      <c r="J656" t="b">
        <f t="shared" si="70"/>
        <v>1</v>
      </c>
      <c r="K656" s="3">
        <f t="shared" ca="1" si="71"/>
        <v>911</v>
      </c>
      <c r="L656" s="3">
        <f t="shared" ca="1" si="72"/>
        <v>866</v>
      </c>
      <c r="M656" t="str">
        <f t="shared" ca="1" si="73"/>
        <v>Overdue</v>
      </c>
      <c r="N656">
        <f t="shared" si="75"/>
        <v>3940.19</v>
      </c>
      <c r="O656" t="str" cm="1">
        <f t="array" aca="1" ref="O656" ca="1">_xlfn.IFS(
L656&lt;=0,"Not Due",
L656&lt;=30,"0–30 Days",
L656&lt;=60,"31–60 Days",
L656&lt;=90,"61–90 Days",
L656&lt;=180,"91–180 Days",
L656&lt;=365,"181–365 Days",
L656&gt;365,"365+ Days (High Risk)"
)</f>
        <v>365+ Days (High Risk)</v>
      </c>
      <c r="P656">
        <f t="shared" si="76"/>
        <v>0</v>
      </c>
      <c r="Q656" s="3">
        <f t="shared" ca="1" si="74"/>
        <v>3940.19</v>
      </c>
    </row>
    <row r="657" spans="1:17" x14ac:dyDescent="0.25">
      <c r="A657" t="s">
        <v>661</v>
      </c>
      <c r="B657" t="s">
        <v>910</v>
      </c>
      <c r="C657" s="1">
        <v>45091</v>
      </c>
      <c r="D657" s="1">
        <v>45136</v>
      </c>
      <c r="E657">
        <v>3595.35</v>
      </c>
      <c r="F657" t="s">
        <v>913</v>
      </c>
      <c r="G657" t="s">
        <v>917</v>
      </c>
      <c r="I657" t="s">
        <v>919</v>
      </c>
      <c r="J657" t="b">
        <f t="shared" si="70"/>
        <v>1</v>
      </c>
      <c r="K657" s="3">
        <f t="shared" ca="1" si="71"/>
        <v>960</v>
      </c>
      <c r="L657" s="3">
        <f t="shared" ca="1" si="72"/>
        <v>915</v>
      </c>
      <c r="M657" t="str">
        <f t="shared" ca="1" si="73"/>
        <v>Overdue</v>
      </c>
      <c r="N657">
        <f t="shared" si="75"/>
        <v>3595.35</v>
      </c>
      <c r="O657" t="str" cm="1">
        <f t="array" aca="1" ref="O657" ca="1">_xlfn.IFS(
L657&lt;=0,"Not Due",
L657&lt;=30,"0–30 Days",
L657&lt;=60,"31–60 Days",
L657&lt;=90,"61–90 Days",
L657&lt;=180,"91–180 Days",
L657&lt;=365,"181–365 Days",
L657&gt;365,"365+ Days (High Risk)"
)</f>
        <v>365+ Days (High Risk)</v>
      </c>
      <c r="P657">
        <f t="shared" si="76"/>
        <v>0</v>
      </c>
      <c r="Q657" s="3">
        <f t="shared" ca="1" si="74"/>
        <v>3595.35</v>
      </c>
    </row>
    <row r="658" spans="1:17" x14ac:dyDescent="0.25">
      <c r="A658" t="s">
        <v>662</v>
      </c>
      <c r="B658" t="s">
        <v>906</v>
      </c>
      <c r="C658" s="1">
        <v>45427</v>
      </c>
      <c r="D658" s="1">
        <v>45472</v>
      </c>
      <c r="E658">
        <v>3077.11</v>
      </c>
      <c r="F658" t="s">
        <v>914</v>
      </c>
      <c r="G658" t="s">
        <v>917</v>
      </c>
      <c r="I658" t="s">
        <v>919</v>
      </c>
      <c r="J658" t="b">
        <f t="shared" si="70"/>
        <v>1</v>
      </c>
      <c r="K658" s="3">
        <f t="shared" ca="1" si="71"/>
        <v>624</v>
      </c>
      <c r="L658" s="3">
        <f t="shared" ca="1" si="72"/>
        <v>579</v>
      </c>
      <c r="M658" t="str">
        <f t="shared" ca="1" si="73"/>
        <v>Overdue</v>
      </c>
      <c r="N658">
        <f t="shared" si="75"/>
        <v>3077.11</v>
      </c>
      <c r="O658" t="str" cm="1">
        <f t="array" aca="1" ref="O658" ca="1">_xlfn.IFS(
L658&lt;=0,"Not Due",
L658&lt;=30,"0–30 Days",
L658&lt;=60,"31–60 Days",
L658&lt;=90,"61–90 Days",
L658&lt;=180,"91–180 Days",
L658&lt;=365,"181–365 Days",
L658&gt;365,"365+ Days (High Risk)"
)</f>
        <v>365+ Days (High Risk)</v>
      </c>
      <c r="P658">
        <f t="shared" si="76"/>
        <v>0</v>
      </c>
      <c r="Q658" s="3">
        <f t="shared" ca="1" si="74"/>
        <v>3077.11</v>
      </c>
    </row>
    <row r="659" spans="1:17" x14ac:dyDescent="0.25">
      <c r="A659" t="s">
        <v>663</v>
      </c>
      <c r="B659" t="s">
        <v>906</v>
      </c>
      <c r="C659" s="1">
        <v>45705</v>
      </c>
      <c r="D659" s="1">
        <v>45750</v>
      </c>
      <c r="E659">
        <v>5124.7</v>
      </c>
      <c r="F659" t="s">
        <v>913</v>
      </c>
      <c r="G659" t="s">
        <v>916</v>
      </c>
      <c r="I659" t="s">
        <v>919</v>
      </c>
      <c r="J659" t="b">
        <f t="shared" si="70"/>
        <v>1</v>
      </c>
      <c r="K659" s="3">
        <f t="shared" ca="1" si="71"/>
        <v>346</v>
      </c>
      <c r="L659" s="3">
        <f t="shared" ca="1" si="72"/>
        <v>301</v>
      </c>
      <c r="M659" t="str">
        <f t="shared" ca="1" si="73"/>
        <v>Overdue</v>
      </c>
      <c r="N659">
        <f t="shared" si="75"/>
        <v>5124.7</v>
      </c>
      <c r="O659" t="str" cm="1">
        <f t="array" aca="1" ref="O659" ca="1">_xlfn.IFS(
L659&lt;=0,"Not Due",
L659&lt;=30,"0–30 Days",
L659&lt;=60,"31–60 Days",
L659&lt;=90,"61–90 Days",
L659&lt;=180,"91–180 Days",
L659&lt;=365,"181–365 Days",
L659&gt;365,"365+ Days (High Risk)"
)</f>
        <v>181–365 Days</v>
      </c>
      <c r="P659">
        <f t="shared" si="76"/>
        <v>0</v>
      </c>
      <c r="Q659" s="3">
        <f t="shared" ca="1" si="74"/>
        <v>5124.7</v>
      </c>
    </row>
    <row r="660" spans="1:17" x14ac:dyDescent="0.25">
      <c r="A660" t="s">
        <v>664</v>
      </c>
      <c r="B660" t="s">
        <v>906</v>
      </c>
      <c r="C660" s="1">
        <v>45092</v>
      </c>
      <c r="D660" s="1">
        <v>45137</v>
      </c>
      <c r="E660">
        <v>7013.17</v>
      </c>
      <c r="F660" t="s">
        <v>913</v>
      </c>
      <c r="G660" t="s">
        <v>916</v>
      </c>
      <c r="I660" t="s">
        <v>919</v>
      </c>
      <c r="J660" t="b">
        <f t="shared" si="70"/>
        <v>1</v>
      </c>
      <c r="K660" s="3">
        <f t="shared" ca="1" si="71"/>
        <v>959</v>
      </c>
      <c r="L660" s="3">
        <f t="shared" ca="1" si="72"/>
        <v>914</v>
      </c>
      <c r="M660" t="str">
        <f t="shared" ca="1" si="73"/>
        <v>Overdue</v>
      </c>
      <c r="N660">
        <f t="shared" si="75"/>
        <v>7013.17</v>
      </c>
      <c r="O660" t="str" cm="1">
        <f t="array" aca="1" ref="O660" ca="1">_xlfn.IFS(
L660&lt;=0,"Not Due",
L660&lt;=30,"0–30 Days",
L660&lt;=60,"31–60 Days",
L660&lt;=90,"61–90 Days",
L660&lt;=180,"91–180 Days",
L660&lt;=365,"181–365 Days",
L660&gt;365,"365+ Days (High Risk)"
)</f>
        <v>365+ Days (High Risk)</v>
      </c>
      <c r="P660">
        <f t="shared" si="76"/>
        <v>0</v>
      </c>
      <c r="Q660" s="3">
        <f t="shared" ca="1" si="74"/>
        <v>7013.17</v>
      </c>
    </row>
    <row r="661" spans="1:17" x14ac:dyDescent="0.25">
      <c r="A661" t="s">
        <v>665</v>
      </c>
      <c r="B661" t="s">
        <v>909</v>
      </c>
      <c r="C661" s="1">
        <v>44964</v>
      </c>
      <c r="D661" s="1">
        <v>45009</v>
      </c>
      <c r="E661">
        <v>6328.76</v>
      </c>
      <c r="F661" t="s">
        <v>913</v>
      </c>
      <c r="G661" t="s">
        <v>917</v>
      </c>
      <c r="I661" t="s">
        <v>919</v>
      </c>
      <c r="J661" t="b">
        <f t="shared" si="70"/>
        <v>1</v>
      </c>
      <c r="K661" s="3">
        <f t="shared" ca="1" si="71"/>
        <v>1087</v>
      </c>
      <c r="L661" s="3">
        <f t="shared" ca="1" si="72"/>
        <v>1042</v>
      </c>
      <c r="M661" t="str">
        <f t="shared" ca="1" si="73"/>
        <v>Overdue</v>
      </c>
      <c r="N661">
        <f t="shared" si="75"/>
        <v>6328.76</v>
      </c>
      <c r="O661" t="str" cm="1">
        <f t="array" aca="1" ref="O661" ca="1">_xlfn.IFS(
L661&lt;=0,"Not Due",
L661&lt;=30,"0–30 Days",
L661&lt;=60,"31–60 Days",
L661&lt;=90,"61–90 Days",
L661&lt;=180,"91–180 Days",
L661&lt;=365,"181–365 Days",
L661&gt;365,"365+ Days (High Risk)"
)</f>
        <v>365+ Days (High Risk)</v>
      </c>
      <c r="P661">
        <f t="shared" si="76"/>
        <v>0</v>
      </c>
      <c r="Q661" s="3">
        <f t="shared" ca="1" si="74"/>
        <v>6328.76</v>
      </c>
    </row>
    <row r="662" spans="1:17" x14ac:dyDescent="0.25">
      <c r="A662" t="s">
        <v>666</v>
      </c>
      <c r="B662" t="s">
        <v>910</v>
      </c>
      <c r="C662" s="1">
        <v>45020</v>
      </c>
      <c r="D662" s="1">
        <v>45065</v>
      </c>
      <c r="E662">
        <v>4370.75</v>
      </c>
      <c r="F662" t="s">
        <v>912</v>
      </c>
      <c r="G662" t="s">
        <v>918</v>
      </c>
      <c r="H662" s="1">
        <v>45065</v>
      </c>
      <c r="I662" t="s">
        <v>919</v>
      </c>
      <c r="J662" t="b">
        <f t="shared" si="70"/>
        <v>0</v>
      </c>
      <c r="K662" s="3">
        <f t="shared" ca="1" si="71"/>
        <v>45</v>
      </c>
      <c r="L662" s="3">
        <f t="shared" ca="1" si="72"/>
        <v>0</v>
      </c>
      <c r="M662" t="str">
        <f t="shared" ca="1" si="73"/>
        <v>On Time</v>
      </c>
      <c r="N662">
        <f t="shared" si="75"/>
        <v>0</v>
      </c>
      <c r="O662" t="str" cm="1">
        <f t="array" aca="1" ref="O662" ca="1">_xlfn.IFS(
L662&lt;=0,"Not Due",
L662&lt;=30,"0–30 Days",
L662&lt;=60,"31–60 Days",
L662&lt;=90,"61–90 Days",
L662&lt;=180,"91–180 Days",
L662&lt;=365,"181–365 Days",
L662&gt;365,"365+ Days (High Risk)"
)</f>
        <v>Not Due</v>
      </c>
      <c r="P662">
        <f t="shared" si="76"/>
        <v>4370.75</v>
      </c>
      <c r="Q662" s="3">
        <f t="shared" ca="1" si="74"/>
        <v>0</v>
      </c>
    </row>
    <row r="663" spans="1:17" x14ac:dyDescent="0.25">
      <c r="A663" t="s">
        <v>667</v>
      </c>
      <c r="B663" t="s">
        <v>908</v>
      </c>
      <c r="C663" s="1">
        <v>45247</v>
      </c>
      <c r="D663" s="1">
        <v>45292</v>
      </c>
      <c r="E663">
        <v>1197.19</v>
      </c>
      <c r="F663" t="s">
        <v>913</v>
      </c>
      <c r="G663" t="s">
        <v>918</v>
      </c>
      <c r="H663" s="1">
        <v>45292</v>
      </c>
      <c r="I663" t="s">
        <v>919</v>
      </c>
      <c r="J663" t="b">
        <f t="shared" si="70"/>
        <v>0</v>
      </c>
      <c r="K663" s="3">
        <f t="shared" ca="1" si="71"/>
        <v>45</v>
      </c>
      <c r="L663" s="3">
        <f t="shared" ca="1" si="72"/>
        <v>0</v>
      </c>
      <c r="M663" t="str">
        <f t="shared" ca="1" si="73"/>
        <v>On Time</v>
      </c>
      <c r="N663">
        <f t="shared" si="75"/>
        <v>0</v>
      </c>
      <c r="O663" t="str" cm="1">
        <f t="array" aca="1" ref="O663" ca="1">_xlfn.IFS(
L663&lt;=0,"Not Due",
L663&lt;=30,"0–30 Days",
L663&lt;=60,"31–60 Days",
L663&lt;=90,"61–90 Days",
L663&lt;=180,"91–180 Days",
L663&lt;=365,"181–365 Days",
L663&gt;365,"365+ Days (High Risk)"
)</f>
        <v>Not Due</v>
      </c>
      <c r="P663">
        <f t="shared" si="76"/>
        <v>1197.19</v>
      </c>
      <c r="Q663" s="3">
        <f t="shared" ca="1" si="74"/>
        <v>0</v>
      </c>
    </row>
    <row r="664" spans="1:17" x14ac:dyDescent="0.25">
      <c r="A664" t="s">
        <v>668</v>
      </c>
      <c r="B664" t="s">
        <v>907</v>
      </c>
      <c r="C664" s="1">
        <v>45544</v>
      </c>
      <c r="D664" s="1">
        <v>45589</v>
      </c>
      <c r="E664">
        <v>1237.3499999999999</v>
      </c>
      <c r="F664" t="s">
        <v>912</v>
      </c>
      <c r="G664" t="s">
        <v>918</v>
      </c>
      <c r="H664" s="1">
        <v>45589</v>
      </c>
      <c r="I664" t="s">
        <v>919</v>
      </c>
      <c r="J664" t="b">
        <f t="shared" si="70"/>
        <v>0</v>
      </c>
      <c r="K664" s="3">
        <f t="shared" ca="1" si="71"/>
        <v>45</v>
      </c>
      <c r="L664" s="3">
        <f t="shared" ca="1" si="72"/>
        <v>0</v>
      </c>
      <c r="M664" t="str">
        <f t="shared" ca="1" si="73"/>
        <v>On Time</v>
      </c>
      <c r="N664">
        <f t="shared" si="75"/>
        <v>0</v>
      </c>
      <c r="O664" t="str" cm="1">
        <f t="array" aca="1" ref="O664" ca="1">_xlfn.IFS(
L664&lt;=0,"Not Due",
L664&lt;=30,"0–30 Days",
L664&lt;=60,"31–60 Days",
L664&lt;=90,"61–90 Days",
L664&lt;=180,"91–180 Days",
L664&lt;=365,"181–365 Days",
L664&gt;365,"365+ Days (High Risk)"
)</f>
        <v>Not Due</v>
      </c>
      <c r="P664">
        <f t="shared" si="76"/>
        <v>1237.3499999999999</v>
      </c>
      <c r="Q664" s="3">
        <f t="shared" ca="1" si="74"/>
        <v>0</v>
      </c>
    </row>
    <row r="665" spans="1:17" x14ac:dyDescent="0.25">
      <c r="A665" t="s">
        <v>669</v>
      </c>
      <c r="B665" t="s">
        <v>907</v>
      </c>
      <c r="C665" s="1">
        <v>45066</v>
      </c>
      <c r="D665" s="1">
        <v>45111</v>
      </c>
      <c r="E665">
        <v>1158.5999999999999</v>
      </c>
      <c r="F665" t="s">
        <v>911</v>
      </c>
      <c r="G665" t="s">
        <v>918</v>
      </c>
      <c r="H665" s="1">
        <v>45111</v>
      </c>
      <c r="I665" t="s">
        <v>919</v>
      </c>
      <c r="J665" t="b">
        <f t="shared" si="70"/>
        <v>0</v>
      </c>
      <c r="K665" s="3">
        <f t="shared" ca="1" si="71"/>
        <v>45</v>
      </c>
      <c r="L665" s="3">
        <f t="shared" ca="1" si="72"/>
        <v>0</v>
      </c>
      <c r="M665" t="str">
        <f t="shared" ca="1" si="73"/>
        <v>On Time</v>
      </c>
      <c r="N665">
        <f t="shared" si="75"/>
        <v>0</v>
      </c>
      <c r="O665" t="str" cm="1">
        <f t="array" aca="1" ref="O665" ca="1">_xlfn.IFS(
L665&lt;=0,"Not Due",
L665&lt;=30,"0–30 Days",
L665&lt;=60,"31–60 Days",
L665&lt;=90,"61–90 Days",
L665&lt;=180,"91–180 Days",
L665&lt;=365,"181–365 Days",
L665&gt;365,"365+ Days (High Risk)"
)</f>
        <v>Not Due</v>
      </c>
      <c r="P665">
        <f t="shared" si="76"/>
        <v>1158.5999999999999</v>
      </c>
      <c r="Q665" s="3">
        <f t="shared" ca="1" si="74"/>
        <v>0</v>
      </c>
    </row>
    <row r="666" spans="1:17" x14ac:dyDescent="0.25">
      <c r="A666" t="s">
        <v>670</v>
      </c>
      <c r="B666" t="s">
        <v>907</v>
      </c>
      <c r="C666" s="1">
        <v>45540</v>
      </c>
      <c r="D666" s="1">
        <v>45585</v>
      </c>
      <c r="E666">
        <v>902.03</v>
      </c>
      <c r="F666" t="s">
        <v>912</v>
      </c>
      <c r="G666" t="s">
        <v>916</v>
      </c>
      <c r="I666" t="s">
        <v>919</v>
      </c>
      <c r="J666" t="b">
        <f t="shared" si="70"/>
        <v>1</v>
      </c>
      <c r="K666" s="3">
        <f t="shared" ca="1" si="71"/>
        <v>511</v>
      </c>
      <c r="L666" s="3">
        <f t="shared" ca="1" si="72"/>
        <v>466</v>
      </c>
      <c r="M666" t="str">
        <f t="shared" ca="1" si="73"/>
        <v>Overdue</v>
      </c>
      <c r="N666">
        <f t="shared" si="75"/>
        <v>902.03</v>
      </c>
      <c r="O666" t="str" cm="1">
        <f t="array" aca="1" ref="O666" ca="1">_xlfn.IFS(
L666&lt;=0,"Not Due",
L666&lt;=30,"0–30 Days",
L666&lt;=60,"31–60 Days",
L666&lt;=90,"61–90 Days",
L666&lt;=180,"91–180 Days",
L666&lt;=365,"181–365 Days",
L666&gt;365,"365+ Days (High Risk)"
)</f>
        <v>365+ Days (High Risk)</v>
      </c>
      <c r="P666">
        <f t="shared" si="76"/>
        <v>0</v>
      </c>
      <c r="Q666" s="3">
        <f t="shared" ca="1" si="74"/>
        <v>902.03</v>
      </c>
    </row>
    <row r="667" spans="1:17" x14ac:dyDescent="0.25">
      <c r="A667" t="s">
        <v>671</v>
      </c>
      <c r="B667" t="s">
        <v>908</v>
      </c>
      <c r="C667" s="1">
        <v>45727</v>
      </c>
      <c r="D667" s="1">
        <v>45772</v>
      </c>
      <c r="E667">
        <v>5343.75</v>
      </c>
      <c r="F667" t="s">
        <v>914</v>
      </c>
      <c r="G667" t="s">
        <v>917</v>
      </c>
      <c r="I667" t="s">
        <v>919</v>
      </c>
      <c r="J667" t="b">
        <f t="shared" si="70"/>
        <v>1</v>
      </c>
      <c r="K667" s="3">
        <f t="shared" ca="1" si="71"/>
        <v>324</v>
      </c>
      <c r="L667" s="3">
        <f t="shared" ca="1" si="72"/>
        <v>279</v>
      </c>
      <c r="M667" t="str">
        <f t="shared" ca="1" si="73"/>
        <v>Overdue</v>
      </c>
      <c r="N667">
        <f t="shared" si="75"/>
        <v>5343.75</v>
      </c>
      <c r="O667" t="str" cm="1">
        <f t="array" aca="1" ref="O667" ca="1">_xlfn.IFS(
L667&lt;=0,"Not Due",
L667&lt;=30,"0–30 Days",
L667&lt;=60,"31–60 Days",
L667&lt;=90,"61–90 Days",
L667&lt;=180,"91–180 Days",
L667&lt;=365,"181–365 Days",
L667&gt;365,"365+ Days (High Risk)"
)</f>
        <v>181–365 Days</v>
      </c>
      <c r="P667">
        <f t="shared" si="76"/>
        <v>0</v>
      </c>
      <c r="Q667" s="3">
        <f t="shared" ca="1" si="74"/>
        <v>5343.75</v>
      </c>
    </row>
    <row r="668" spans="1:17" x14ac:dyDescent="0.25">
      <c r="A668" t="s">
        <v>672</v>
      </c>
      <c r="B668" t="s">
        <v>907</v>
      </c>
      <c r="C668" s="1">
        <v>45612</v>
      </c>
      <c r="D668" s="1">
        <v>45657</v>
      </c>
      <c r="E668">
        <v>7948.89</v>
      </c>
      <c r="F668" t="s">
        <v>914</v>
      </c>
      <c r="G668" t="s">
        <v>916</v>
      </c>
      <c r="I668" t="s">
        <v>919</v>
      </c>
      <c r="J668" t="b">
        <f t="shared" si="70"/>
        <v>1</v>
      </c>
      <c r="K668" s="3">
        <f t="shared" ca="1" si="71"/>
        <v>439</v>
      </c>
      <c r="L668" s="3">
        <f t="shared" ca="1" si="72"/>
        <v>394</v>
      </c>
      <c r="M668" t="str">
        <f t="shared" ca="1" si="73"/>
        <v>Overdue</v>
      </c>
      <c r="N668">
        <f t="shared" si="75"/>
        <v>7948.89</v>
      </c>
      <c r="O668" t="str" cm="1">
        <f t="array" aca="1" ref="O668" ca="1">_xlfn.IFS(
L668&lt;=0,"Not Due",
L668&lt;=30,"0–30 Days",
L668&lt;=60,"31–60 Days",
L668&lt;=90,"61–90 Days",
L668&lt;=180,"91–180 Days",
L668&lt;=365,"181–365 Days",
L668&gt;365,"365+ Days (High Risk)"
)</f>
        <v>365+ Days (High Risk)</v>
      </c>
      <c r="P668">
        <f t="shared" si="76"/>
        <v>0</v>
      </c>
      <c r="Q668" s="3">
        <f t="shared" ca="1" si="74"/>
        <v>7948.89</v>
      </c>
    </row>
    <row r="669" spans="1:17" x14ac:dyDescent="0.25">
      <c r="A669" t="s">
        <v>673</v>
      </c>
      <c r="B669" t="s">
        <v>907</v>
      </c>
      <c r="C669" s="1">
        <v>45569</v>
      </c>
      <c r="D669" s="1">
        <v>45614</v>
      </c>
      <c r="E669">
        <v>7072.26</v>
      </c>
      <c r="F669" t="s">
        <v>912</v>
      </c>
      <c r="G669" t="s">
        <v>918</v>
      </c>
      <c r="H669" s="1">
        <v>45614</v>
      </c>
      <c r="I669" t="s">
        <v>919</v>
      </c>
      <c r="J669" t="b">
        <f t="shared" si="70"/>
        <v>0</v>
      </c>
      <c r="K669" s="3">
        <f t="shared" ca="1" si="71"/>
        <v>45</v>
      </c>
      <c r="L669" s="3">
        <f t="shared" ca="1" si="72"/>
        <v>0</v>
      </c>
      <c r="M669" t="str">
        <f t="shared" ca="1" si="73"/>
        <v>On Time</v>
      </c>
      <c r="N669">
        <f t="shared" si="75"/>
        <v>0</v>
      </c>
      <c r="O669" t="str" cm="1">
        <f t="array" aca="1" ref="O669" ca="1">_xlfn.IFS(
L669&lt;=0,"Not Due",
L669&lt;=30,"0–30 Days",
L669&lt;=60,"31–60 Days",
L669&lt;=90,"61–90 Days",
L669&lt;=180,"91–180 Days",
L669&lt;=365,"181–365 Days",
L669&gt;365,"365+ Days (High Risk)"
)</f>
        <v>Not Due</v>
      </c>
      <c r="P669">
        <f t="shared" si="76"/>
        <v>7072.26</v>
      </c>
      <c r="Q669" s="3">
        <f t="shared" ca="1" si="74"/>
        <v>0</v>
      </c>
    </row>
    <row r="670" spans="1:17" x14ac:dyDescent="0.25">
      <c r="A670" t="s">
        <v>674</v>
      </c>
      <c r="B670" t="s">
        <v>907</v>
      </c>
      <c r="C670" s="1">
        <v>45128</v>
      </c>
      <c r="D670" s="1">
        <v>45173</v>
      </c>
      <c r="E670">
        <v>4905.33</v>
      </c>
      <c r="F670" t="s">
        <v>911</v>
      </c>
      <c r="G670" t="s">
        <v>916</v>
      </c>
      <c r="I670" t="s">
        <v>919</v>
      </c>
      <c r="J670" t="b">
        <f t="shared" si="70"/>
        <v>1</v>
      </c>
      <c r="K670" s="3">
        <f t="shared" ca="1" si="71"/>
        <v>923</v>
      </c>
      <c r="L670" s="3">
        <f t="shared" ca="1" si="72"/>
        <v>878</v>
      </c>
      <c r="M670" t="str">
        <f t="shared" ca="1" si="73"/>
        <v>Overdue</v>
      </c>
      <c r="N670">
        <f t="shared" si="75"/>
        <v>4905.33</v>
      </c>
      <c r="O670" t="str" cm="1">
        <f t="array" aca="1" ref="O670" ca="1">_xlfn.IFS(
L670&lt;=0,"Not Due",
L670&lt;=30,"0–30 Days",
L670&lt;=60,"31–60 Days",
L670&lt;=90,"61–90 Days",
L670&lt;=180,"91–180 Days",
L670&lt;=365,"181–365 Days",
L670&gt;365,"365+ Days (High Risk)"
)</f>
        <v>365+ Days (High Risk)</v>
      </c>
      <c r="P670">
        <f t="shared" si="76"/>
        <v>0</v>
      </c>
      <c r="Q670" s="3">
        <f t="shared" ca="1" si="74"/>
        <v>4905.33</v>
      </c>
    </row>
    <row r="671" spans="1:17" x14ac:dyDescent="0.25">
      <c r="A671" t="s">
        <v>675</v>
      </c>
      <c r="B671" t="s">
        <v>908</v>
      </c>
      <c r="C671" s="1">
        <v>45024</v>
      </c>
      <c r="D671" s="1">
        <v>45069</v>
      </c>
      <c r="E671">
        <v>1063.05</v>
      </c>
      <c r="F671" t="s">
        <v>911</v>
      </c>
      <c r="G671" t="s">
        <v>918</v>
      </c>
      <c r="H671" s="1">
        <v>45069</v>
      </c>
      <c r="I671" t="s">
        <v>919</v>
      </c>
      <c r="J671" t="b">
        <f t="shared" si="70"/>
        <v>0</v>
      </c>
      <c r="K671" s="3">
        <f t="shared" ca="1" si="71"/>
        <v>45</v>
      </c>
      <c r="L671" s="3">
        <f t="shared" ca="1" si="72"/>
        <v>0</v>
      </c>
      <c r="M671" t="str">
        <f t="shared" ca="1" si="73"/>
        <v>On Time</v>
      </c>
      <c r="N671">
        <f t="shared" si="75"/>
        <v>0</v>
      </c>
      <c r="O671" t="str" cm="1">
        <f t="array" aca="1" ref="O671" ca="1">_xlfn.IFS(
L671&lt;=0,"Not Due",
L671&lt;=30,"0–30 Days",
L671&lt;=60,"31–60 Days",
L671&lt;=90,"61–90 Days",
L671&lt;=180,"91–180 Days",
L671&lt;=365,"181–365 Days",
L671&gt;365,"365+ Days (High Risk)"
)</f>
        <v>Not Due</v>
      </c>
      <c r="P671">
        <f t="shared" si="76"/>
        <v>1063.05</v>
      </c>
      <c r="Q671" s="3">
        <f t="shared" ca="1" si="74"/>
        <v>0</v>
      </c>
    </row>
    <row r="672" spans="1:17" x14ac:dyDescent="0.25">
      <c r="A672" t="s">
        <v>676</v>
      </c>
      <c r="B672" t="s">
        <v>908</v>
      </c>
      <c r="C672" s="1">
        <v>45697</v>
      </c>
      <c r="D672" s="1">
        <v>45742</v>
      </c>
      <c r="E672">
        <v>4173.51</v>
      </c>
      <c r="F672" t="s">
        <v>912</v>
      </c>
      <c r="G672" t="s">
        <v>918</v>
      </c>
      <c r="H672" s="1">
        <v>45742</v>
      </c>
      <c r="I672" t="s">
        <v>919</v>
      </c>
      <c r="J672" t="b">
        <f t="shared" si="70"/>
        <v>0</v>
      </c>
      <c r="K672" s="3">
        <f t="shared" ca="1" si="71"/>
        <v>45</v>
      </c>
      <c r="L672" s="3">
        <f t="shared" ca="1" si="72"/>
        <v>0</v>
      </c>
      <c r="M672" t="str">
        <f t="shared" ca="1" si="73"/>
        <v>On Time</v>
      </c>
      <c r="N672">
        <f t="shared" si="75"/>
        <v>0</v>
      </c>
      <c r="O672" t="str" cm="1">
        <f t="array" aca="1" ref="O672" ca="1">_xlfn.IFS(
L672&lt;=0,"Not Due",
L672&lt;=30,"0–30 Days",
L672&lt;=60,"31–60 Days",
L672&lt;=90,"61–90 Days",
L672&lt;=180,"91–180 Days",
L672&lt;=365,"181–365 Days",
L672&gt;365,"365+ Days (High Risk)"
)</f>
        <v>Not Due</v>
      </c>
      <c r="P672">
        <f t="shared" si="76"/>
        <v>4173.51</v>
      </c>
      <c r="Q672" s="3">
        <f t="shared" ca="1" si="74"/>
        <v>0</v>
      </c>
    </row>
    <row r="673" spans="1:17" x14ac:dyDescent="0.25">
      <c r="A673" t="s">
        <v>677</v>
      </c>
      <c r="B673" t="s">
        <v>908</v>
      </c>
      <c r="C673" s="1">
        <v>44980</v>
      </c>
      <c r="D673" s="1">
        <v>45025</v>
      </c>
      <c r="E673">
        <v>5531.26</v>
      </c>
      <c r="F673" t="s">
        <v>911</v>
      </c>
      <c r="G673" t="s">
        <v>917</v>
      </c>
      <c r="I673" t="s">
        <v>919</v>
      </c>
      <c r="J673" t="b">
        <f t="shared" si="70"/>
        <v>1</v>
      </c>
      <c r="K673" s="3">
        <f t="shared" ca="1" si="71"/>
        <v>1071</v>
      </c>
      <c r="L673" s="3">
        <f t="shared" ca="1" si="72"/>
        <v>1026</v>
      </c>
      <c r="M673" t="str">
        <f t="shared" ca="1" si="73"/>
        <v>Overdue</v>
      </c>
      <c r="N673">
        <f t="shared" si="75"/>
        <v>5531.26</v>
      </c>
      <c r="O673" t="str" cm="1">
        <f t="array" aca="1" ref="O673" ca="1">_xlfn.IFS(
L673&lt;=0,"Not Due",
L673&lt;=30,"0–30 Days",
L673&lt;=60,"31–60 Days",
L673&lt;=90,"61–90 Days",
L673&lt;=180,"91–180 Days",
L673&lt;=365,"181–365 Days",
L673&gt;365,"365+ Days (High Risk)"
)</f>
        <v>365+ Days (High Risk)</v>
      </c>
      <c r="P673">
        <f t="shared" si="76"/>
        <v>0</v>
      </c>
      <c r="Q673" s="3">
        <f t="shared" ca="1" si="74"/>
        <v>5531.26</v>
      </c>
    </row>
    <row r="674" spans="1:17" x14ac:dyDescent="0.25">
      <c r="A674" t="s">
        <v>678</v>
      </c>
      <c r="B674" t="s">
        <v>909</v>
      </c>
      <c r="C674" s="1">
        <v>45747</v>
      </c>
      <c r="D674" s="1">
        <v>45792</v>
      </c>
      <c r="E674">
        <v>696.31</v>
      </c>
      <c r="F674" t="s">
        <v>911</v>
      </c>
      <c r="G674" t="s">
        <v>917</v>
      </c>
      <c r="I674" t="s">
        <v>919</v>
      </c>
      <c r="J674" t="b">
        <f t="shared" si="70"/>
        <v>1</v>
      </c>
      <c r="K674" s="3">
        <f t="shared" ca="1" si="71"/>
        <v>304</v>
      </c>
      <c r="L674" s="3">
        <f t="shared" ca="1" si="72"/>
        <v>259</v>
      </c>
      <c r="M674" t="str">
        <f t="shared" ca="1" si="73"/>
        <v>Overdue</v>
      </c>
      <c r="N674">
        <f t="shared" si="75"/>
        <v>696.31</v>
      </c>
      <c r="O674" t="str" cm="1">
        <f t="array" aca="1" ref="O674" ca="1">_xlfn.IFS(
L674&lt;=0,"Not Due",
L674&lt;=30,"0–30 Days",
L674&lt;=60,"31–60 Days",
L674&lt;=90,"61–90 Days",
L674&lt;=180,"91–180 Days",
L674&lt;=365,"181–365 Days",
L674&gt;365,"365+ Days (High Risk)"
)</f>
        <v>181–365 Days</v>
      </c>
      <c r="P674">
        <f t="shared" si="76"/>
        <v>0</v>
      </c>
      <c r="Q674" s="3">
        <f t="shared" ca="1" si="74"/>
        <v>696.31</v>
      </c>
    </row>
    <row r="675" spans="1:17" x14ac:dyDescent="0.25">
      <c r="A675" t="s">
        <v>679</v>
      </c>
      <c r="B675" t="s">
        <v>909</v>
      </c>
      <c r="C675" s="1">
        <v>45804</v>
      </c>
      <c r="D675" s="1">
        <v>45849</v>
      </c>
      <c r="E675">
        <v>4219.1899999999996</v>
      </c>
      <c r="F675" t="s">
        <v>912</v>
      </c>
      <c r="G675" t="s">
        <v>917</v>
      </c>
      <c r="I675" t="s">
        <v>919</v>
      </c>
      <c r="J675" t="b">
        <f t="shared" si="70"/>
        <v>1</v>
      </c>
      <c r="K675" s="3">
        <f t="shared" ca="1" si="71"/>
        <v>247</v>
      </c>
      <c r="L675" s="3">
        <f t="shared" ca="1" si="72"/>
        <v>202</v>
      </c>
      <c r="M675" t="str">
        <f t="shared" ca="1" si="73"/>
        <v>Overdue</v>
      </c>
      <c r="N675">
        <f t="shared" si="75"/>
        <v>4219.1899999999996</v>
      </c>
      <c r="O675" t="str" cm="1">
        <f t="array" aca="1" ref="O675" ca="1">_xlfn.IFS(
L675&lt;=0,"Not Due",
L675&lt;=30,"0–30 Days",
L675&lt;=60,"31–60 Days",
L675&lt;=90,"61–90 Days",
L675&lt;=180,"91–180 Days",
L675&lt;=365,"181–365 Days",
L675&gt;365,"365+ Days (High Risk)"
)</f>
        <v>181–365 Days</v>
      </c>
      <c r="P675">
        <f t="shared" si="76"/>
        <v>0</v>
      </c>
      <c r="Q675" s="3">
        <f t="shared" ca="1" si="74"/>
        <v>4219.1899999999996</v>
      </c>
    </row>
    <row r="676" spans="1:17" x14ac:dyDescent="0.25">
      <c r="A676" t="s">
        <v>680</v>
      </c>
      <c r="B676" t="s">
        <v>906</v>
      </c>
      <c r="C676" s="1">
        <v>45323</v>
      </c>
      <c r="D676" s="1">
        <v>45368</v>
      </c>
      <c r="E676">
        <v>6754.63</v>
      </c>
      <c r="F676" t="s">
        <v>912</v>
      </c>
      <c r="G676" t="s">
        <v>917</v>
      </c>
      <c r="I676" t="s">
        <v>919</v>
      </c>
      <c r="J676" t="b">
        <f t="shared" si="70"/>
        <v>1</v>
      </c>
      <c r="K676" s="3">
        <f t="shared" ca="1" si="71"/>
        <v>728</v>
      </c>
      <c r="L676" s="3">
        <f t="shared" ca="1" si="72"/>
        <v>683</v>
      </c>
      <c r="M676" t="str">
        <f t="shared" ca="1" si="73"/>
        <v>Overdue</v>
      </c>
      <c r="N676">
        <f t="shared" si="75"/>
        <v>6754.63</v>
      </c>
      <c r="O676" t="str" cm="1">
        <f t="array" aca="1" ref="O676" ca="1">_xlfn.IFS(
L676&lt;=0,"Not Due",
L676&lt;=30,"0–30 Days",
L676&lt;=60,"31–60 Days",
L676&lt;=90,"61–90 Days",
L676&lt;=180,"91–180 Days",
L676&lt;=365,"181–365 Days",
L676&gt;365,"365+ Days (High Risk)"
)</f>
        <v>365+ Days (High Risk)</v>
      </c>
      <c r="P676">
        <f t="shared" si="76"/>
        <v>0</v>
      </c>
      <c r="Q676" s="3">
        <f t="shared" ca="1" si="74"/>
        <v>6754.63</v>
      </c>
    </row>
    <row r="677" spans="1:17" x14ac:dyDescent="0.25">
      <c r="A677" t="s">
        <v>681</v>
      </c>
      <c r="B677" t="s">
        <v>907</v>
      </c>
      <c r="C677" s="1">
        <v>45386</v>
      </c>
      <c r="D677" s="1">
        <v>45431</v>
      </c>
      <c r="E677">
        <v>4258.29</v>
      </c>
      <c r="F677" t="s">
        <v>911</v>
      </c>
      <c r="G677" t="s">
        <v>918</v>
      </c>
      <c r="H677" s="1">
        <v>45431</v>
      </c>
      <c r="I677" t="s">
        <v>919</v>
      </c>
      <c r="J677" t="b">
        <f t="shared" si="70"/>
        <v>0</v>
      </c>
      <c r="K677" s="3">
        <f t="shared" ca="1" si="71"/>
        <v>45</v>
      </c>
      <c r="L677" s="3">
        <f t="shared" ca="1" si="72"/>
        <v>0</v>
      </c>
      <c r="M677" t="str">
        <f t="shared" ca="1" si="73"/>
        <v>On Time</v>
      </c>
      <c r="N677">
        <f t="shared" si="75"/>
        <v>0</v>
      </c>
      <c r="O677" t="str" cm="1">
        <f t="array" aca="1" ref="O677" ca="1">_xlfn.IFS(
L677&lt;=0,"Not Due",
L677&lt;=30,"0–30 Days",
L677&lt;=60,"31–60 Days",
L677&lt;=90,"61–90 Days",
L677&lt;=180,"91–180 Days",
L677&lt;=365,"181–365 Days",
L677&gt;365,"365+ Days (High Risk)"
)</f>
        <v>Not Due</v>
      </c>
      <c r="P677">
        <f t="shared" si="76"/>
        <v>4258.29</v>
      </c>
      <c r="Q677" s="3">
        <f t="shared" ca="1" si="74"/>
        <v>0</v>
      </c>
    </row>
    <row r="678" spans="1:17" x14ac:dyDescent="0.25">
      <c r="A678" t="s">
        <v>682</v>
      </c>
      <c r="B678" t="s">
        <v>910</v>
      </c>
      <c r="C678" s="1">
        <v>45081</v>
      </c>
      <c r="D678" s="1">
        <v>45126</v>
      </c>
      <c r="E678">
        <v>5986.21</v>
      </c>
      <c r="F678" t="s">
        <v>912</v>
      </c>
      <c r="G678" t="s">
        <v>916</v>
      </c>
      <c r="I678" t="s">
        <v>919</v>
      </c>
      <c r="J678" t="b">
        <f t="shared" si="70"/>
        <v>1</v>
      </c>
      <c r="K678" s="3">
        <f t="shared" ca="1" si="71"/>
        <v>970</v>
      </c>
      <c r="L678" s="3">
        <f t="shared" ca="1" si="72"/>
        <v>925</v>
      </c>
      <c r="M678" t="str">
        <f t="shared" ca="1" si="73"/>
        <v>Overdue</v>
      </c>
      <c r="N678">
        <f t="shared" si="75"/>
        <v>5986.21</v>
      </c>
      <c r="O678" t="str" cm="1">
        <f t="array" aca="1" ref="O678" ca="1">_xlfn.IFS(
L678&lt;=0,"Not Due",
L678&lt;=30,"0–30 Days",
L678&lt;=60,"31–60 Days",
L678&lt;=90,"61–90 Days",
L678&lt;=180,"91–180 Days",
L678&lt;=365,"181–365 Days",
L678&gt;365,"365+ Days (High Risk)"
)</f>
        <v>365+ Days (High Risk)</v>
      </c>
      <c r="P678">
        <f t="shared" si="76"/>
        <v>0</v>
      </c>
      <c r="Q678" s="3">
        <f t="shared" ca="1" si="74"/>
        <v>5986.21</v>
      </c>
    </row>
    <row r="679" spans="1:17" x14ac:dyDescent="0.25">
      <c r="A679" t="s">
        <v>683</v>
      </c>
      <c r="B679" t="s">
        <v>906</v>
      </c>
      <c r="C679" s="1">
        <v>45112</v>
      </c>
      <c r="D679" s="1">
        <v>45157</v>
      </c>
      <c r="E679">
        <v>6093.81</v>
      </c>
      <c r="F679" t="s">
        <v>911</v>
      </c>
      <c r="G679" t="s">
        <v>918</v>
      </c>
      <c r="H679" s="1">
        <v>45157</v>
      </c>
      <c r="I679" t="s">
        <v>919</v>
      </c>
      <c r="J679" t="b">
        <f t="shared" si="70"/>
        <v>0</v>
      </c>
      <c r="K679" s="3">
        <f t="shared" ca="1" si="71"/>
        <v>45</v>
      </c>
      <c r="L679" s="3">
        <f t="shared" ca="1" si="72"/>
        <v>0</v>
      </c>
      <c r="M679" t="str">
        <f t="shared" ca="1" si="73"/>
        <v>On Time</v>
      </c>
      <c r="N679">
        <f t="shared" si="75"/>
        <v>0</v>
      </c>
      <c r="O679" t="str" cm="1">
        <f t="array" aca="1" ref="O679" ca="1">_xlfn.IFS(
L679&lt;=0,"Not Due",
L679&lt;=30,"0–30 Days",
L679&lt;=60,"31–60 Days",
L679&lt;=90,"61–90 Days",
L679&lt;=180,"91–180 Days",
L679&lt;=365,"181–365 Days",
L679&gt;365,"365+ Days (High Risk)"
)</f>
        <v>Not Due</v>
      </c>
      <c r="P679">
        <f t="shared" si="76"/>
        <v>6093.81</v>
      </c>
      <c r="Q679" s="3">
        <f t="shared" ca="1" si="74"/>
        <v>0</v>
      </c>
    </row>
    <row r="680" spans="1:17" x14ac:dyDescent="0.25">
      <c r="A680" t="s">
        <v>684</v>
      </c>
      <c r="B680" t="s">
        <v>909</v>
      </c>
      <c r="C680" s="1">
        <v>45538</v>
      </c>
      <c r="D680" s="1">
        <v>45583</v>
      </c>
      <c r="E680">
        <v>3906.09</v>
      </c>
      <c r="F680" t="s">
        <v>911</v>
      </c>
      <c r="G680" t="s">
        <v>918</v>
      </c>
      <c r="H680" s="1">
        <v>45583</v>
      </c>
      <c r="I680" t="s">
        <v>919</v>
      </c>
      <c r="J680" t="b">
        <f t="shared" si="70"/>
        <v>0</v>
      </c>
      <c r="K680" s="3">
        <f t="shared" ca="1" si="71"/>
        <v>45</v>
      </c>
      <c r="L680" s="3">
        <f t="shared" ca="1" si="72"/>
        <v>0</v>
      </c>
      <c r="M680" t="str">
        <f t="shared" ca="1" si="73"/>
        <v>On Time</v>
      </c>
      <c r="N680">
        <f t="shared" si="75"/>
        <v>0</v>
      </c>
      <c r="O680" t="str" cm="1">
        <f t="array" aca="1" ref="O680" ca="1">_xlfn.IFS(
L680&lt;=0,"Not Due",
L680&lt;=30,"0–30 Days",
L680&lt;=60,"31–60 Days",
L680&lt;=90,"61–90 Days",
L680&lt;=180,"91–180 Days",
L680&lt;=365,"181–365 Days",
L680&gt;365,"365+ Days (High Risk)"
)</f>
        <v>Not Due</v>
      </c>
      <c r="P680">
        <f t="shared" si="76"/>
        <v>3906.09</v>
      </c>
      <c r="Q680" s="3">
        <f t="shared" ca="1" si="74"/>
        <v>0</v>
      </c>
    </row>
    <row r="681" spans="1:17" x14ac:dyDescent="0.25">
      <c r="A681" t="s">
        <v>685</v>
      </c>
      <c r="B681" t="s">
        <v>907</v>
      </c>
      <c r="C681" s="1">
        <v>45623</v>
      </c>
      <c r="D681" s="1">
        <v>45668</v>
      </c>
      <c r="E681">
        <v>4948.45</v>
      </c>
      <c r="F681" t="s">
        <v>913</v>
      </c>
      <c r="G681" t="s">
        <v>917</v>
      </c>
      <c r="I681" t="s">
        <v>919</v>
      </c>
      <c r="J681" t="b">
        <f t="shared" si="70"/>
        <v>1</v>
      </c>
      <c r="K681" s="3">
        <f t="shared" ca="1" si="71"/>
        <v>428</v>
      </c>
      <c r="L681" s="3">
        <f t="shared" ca="1" si="72"/>
        <v>383</v>
      </c>
      <c r="M681" t="str">
        <f t="shared" ca="1" si="73"/>
        <v>Overdue</v>
      </c>
      <c r="N681">
        <f t="shared" si="75"/>
        <v>4948.45</v>
      </c>
      <c r="O681" t="str" cm="1">
        <f t="array" aca="1" ref="O681" ca="1">_xlfn.IFS(
L681&lt;=0,"Not Due",
L681&lt;=30,"0–30 Days",
L681&lt;=60,"31–60 Days",
L681&lt;=90,"61–90 Days",
L681&lt;=180,"91–180 Days",
L681&lt;=365,"181–365 Days",
L681&gt;365,"365+ Days (High Risk)"
)</f>
        <v>365+ Days (High Risk)</v>
      </c>
      <c r="P681">
        <f t="shared" si="76"/>
        <v>0</v>
      </c>
      <c r="Q681" s="3">
        <f t="shared" ca="1" si="74"/>
        <v>4948.45</v>
      </c>
    </row>
    <row r="682" spans="1:17" x14ac:dyDescent="0.25">
      <c r="A682" t="s">
        <v>686</v>
      </c>
      <c r="B682" t="s">
        <v>910</v>
      </c>
      <c r="C682" s="1">
        <v>45006</v>
      </c>
      <c r="D682" s="1">
        <v>45051</v>
      </c>
      <c r="E682">
        <v>3111.12</v>
      </c>
      <c r="F682" t="s">
        <v>912</v>
      </c>
      <c r="G682" t="s">
        <v>917</v>
      </c>
      <c r="I682" t="s">
        <v>919</v>
      </c>
      <c r="J682" t="b">
        <f t="shared" si="70"/>
        <v>1</v>
      </c>
      <c r="K682" s="3">
        <f t="shared" ca="1" si="71"/>
        <v>1045</v>
      </c>
      <c r="L682" s="3">
        <f t="shared" ca="1" si="72"/>
        <v>1000</v>
      </c>
      <c r="M682" t="str">
        <f t="shared" ca="1" si="73"/>
        <v>Overdue</v>
      </c>
      <c r="N682">
        <f t="shared" si="75"/>
        <v>3111.12</v>
      </c>
      <c r="O682" t="str" cm="1">
        <f t="array" aca="1" ref="O682" ca="1">_xlfn.IFS(
L682&lt;=0,"Not Due",
L682&lt;=30,"0–30 Days",
L682&lt;=60,"31–60 Days",
L682&lt;=90,"61–90 Days",
L682&lt;=180,"91–180 Days",
L682&lt;=365,"181–365 Days",
L682&gt;365,"365+ Days (High Risk)"
)</f>
        <v>365+ Days (High Risk)</v>
      </c>
      <c r="P682">
        <f t="shared" si="76"/>
        <v>0</v>
      </c>
      <c r="Q682" s="3">
        <f t="shared" ca="1" si="74"/>
        <v>3111.12</v>
      </c>
    </row>
    <row r="683" spans="1:17" x14ac:dyDescent="0.25">
      <c r="A683" t="s">
        <v>687</v>
      </c>
      <c r="B683" t="s">
        <v>907</v>
      </c>
      <c r="C683" s="1">
        <v>45824</v>
      </c>
      <c r="D683" s="1">
        <v>45869</v>
      </c>
      <c r="E683">
        <v>4171.1000000000004</v>
      </c>
      <c r="F683" t="s">
        <v>914</v>
      </c>
      <c r="G683" t="s">
        <v>916</v>
      </c>
      <c r="I683" t="s">
        <v>919</v>
      </c>
      <c r="J683" t="b">
        <f t="shared" si="70"/>
        <v>1</v>
      </c>
      <c r="K683" s="3">
        <f t="shared" ca="1" si="71"/>
        <v>227</v>
      </c>
      <c r="L683" s="3">
        <f t="shared" ca="1" si="72"/>
        <v>182</v>
      </c>
      <c r="M683" t="str">
        <f t="shared" ca="1" si="73"/>
        <v>Overdue</v>
      </c>
      <c r="N683">
        <f t="shared" si="75"/>
        <v>4171.1000000000004</v>
      </c>
      <c r="O683" t="str" cm="1">
        <f t="array" aca="1" ref="O683" ca="1">_xlfn.IFS(
L683&lt;=0,"Not Due",
L683&lt;=30,"0–30 Days",
L683&lt;=60,"31–60 Days",
L683&lt;=90,"61–90 Days",
L683&lt;=180,"91–180 Days",
L683&lt;=365,"181–365 Days",
L683&gt;365,"365+ Days (High Risk)"
)</f>
        <v>181–365 Days</v>
      </c>
      <c r="P683">
        <f t="shared" si="76"/>
        <v>0</v>
      </c>
      <c r="Q683" s="3">
        <f t="shared" ca="1" si="74"/>
        <v>4171.1000000000004</v>
      </c>
    </row>
    <row r="684" spans="1:17" x14ac:dyDescent="0.25">
      <c r="A684" t="s">
        <v>688</v>
      </c>
      <c r="B684" t="s">
        <v>907</v>
      </c>
      <c r="C684" s="1">
        <v>45796</v>
      </c>
      <c r="D684" s="1">
        <v>45841</v>
      </c>
      <c r="E684">
        <v>3794.84</v>
      </c>
      <c r="F684" t="s">
        <v>913</v>
      </c>
      <c r="G684" t="s">
        <v>918</v>
      </c>
      <c r="H684" s="1">
        <v>45841</v>
      </c>
      <c r="I684" t="s">
        <v>919</v>
      </c>
      <c r="J684" t="b">
        <f t="shared" si="70"/>
        <v>0</v>
      </c>
      <c r="K684" s="3">
        <f t="shared" ca="1" si="71"/>
        <v>45</v>
      </c>
      <c r="L684" s="3">
        <f t="shared" ca="1" si="72"/>
        <v>0</v>
      </c>
      <c r="M684" t="str">
        <f t="shared" ca="1" si="73"/>
        <v>On Time</v>
      </c>
      <c r="N684">
        <f t="shared" si="75"/>
        <v>0</v>
      </c>
      <c r="O684" t="str" cm="1">
        <f t="array" aca="1" ref="O684" ca="1">_xlfn.IFS(
L684&lt;=0,"Not Due",
L684&lt;=30,"0–30 Days",
L684&lt;=60,"31–60 Days",
L684&lt;=90,"61–90 Days",
L684&lt;=180,"91–180 Days",
L684&lt;=365,"181–365 Days",
L684&gt;365,"365+ Days (High Risk)"
)</f>
        <v>Not Due</v>
      </c>
      <c r="P684">
        <f t="shared" si="76"/>
        <v>3794.84</v>
      </c>
      <c r="Q684" s="3">
        <f t="shared" ca="1" si="74"/>
        <v>0</v>
      </c>
    </row>
    <row r="685" spans="1:17" x14ac:dyDescent="0.25">
      <c r="A685" t="s">
        <v>689</v>
      </c>
      <c r="B685" t="s">
        <v>906</v>
      </c>
      <c r="C685" s="1">
        <v>45076</v>
      </c>
      <c r="D685" s="1">
        <v>45121</v>
      </c>
      <c r="E685">
        <v>778.03</v>
      </c>
      <c r="F685" t="s">
        <v>915</v>
      </c>
      <c r="G685" t="s">
        <v>918</v>
      </c>
      <c r="H685" s="1">
        <v>45121</v>
      </c>
      <c r="I685" t="s">
        <v>919</v>
      </c>
      <c r="J685" t="b">
        <f t="shared" si="70"/>
        <v>0</v>
      </c>
      <c r="K685" s="3">
        <f t="shared" ca="1" si="71"/>
        <v>45</v>
      </c>
      <c r="L685" s="3">
        <f t="shared" ca="1" si="72"/>
        <v>0</v>
      </c>
      <c r="M685" t="str">
        <f t="shared" ca="1" si="73"/>
        <v>On Time</v>
      </c>
      <c r="N685">
        <f t="shared" si="75"/>
        <v>0</v>
      </c>
      <c r="O685" t="str" cm="1">
        <f t="array" aca="1" ref="O685" ca="1">_xlfn.IFS(
L685&lt;=0,"Not Due",
L685&lt;=30,"0–30 Days",
L685&lt;=60,"31–60 Days",
L685&lt;=90,"61–90 Days",
L685&lt;=180,"91–180 Days",
L685&lt;=365,"181–365 Days",
L685&gt;365,"365+ Days (High Risk)"
)</f>
        <v>Not Due</v>
      </c>
      <c r="P685">
        <f t="shared" si="76"/>
        <v>778.03</v>
      </c>
      <c r="Q685" s="3">
        <f t="shared" ca="1" si="74"/>
        <v>0</v>
      </c>
    </row>
    <row r="686" spans="1:17" x14ac:dyDescent="0.25">
      <c r="A686" t="s">
        <v>690</v>
      </c>
      <c r="B686" t="s">
        <v>906</v>
      </c>
      <c r="C686" s="1">
        <v>45203</v>
      </c>
      <c r="D686" s="1">
        <v>45248</v>
      </c>
      <c r="E686">
        <v>6025.55</v>
      </c>
      <c r="F686" t="s">
        <v>911</v>
      </c>
      <c r="G686" t="s">
        <v>916</v>
      </c>
      <c r="I686" t="s">
        <v>919</v>
      </c>
      <c r="J686" t="b">
        <f t="shared" si="70"/>
        <v>1</v>
      </c>
      <c r="K686" s="3">
        <f t="shared" ca="1" si="71"/>
        <v>848</v>
      </c>
      <c r="L686" s="3">
        <f t="shared" ca="1" si="72"/>
        <v>803</v>
      </c>
      <c r="M686" t="str">
        <f t="shared" ca="1" si="73"/>
        <v>Overdue</v>
      </c>
      <c r="N686">
        <f t="shared" si="75"/>
        <v>6025.55</v>
      </c>
      <c r="O686" t="str" cm="1">
        <f t="array" aca="1" ref="O686" ca="1">_xlfn.IFS(
L686&lt;=0,"Not Due",
L686&lt;=30,"0–30 Days",
L686&lt;=60,"31–60 Days",
L686&lt;=90,"61–90 Days",
L686&lt;=180,"91–180 Days",
L686&lt;=365,"181–365 Days",
L686&gt;365,"365+ Days (High Risk)"
)</f>
        <v>365+ Days (High Risk)</v>
      </c>
      <c r="P686">
        <f t="shared" si="76"/>
        <v>0</v>
      </c>
      <c r="Q686" s="3">
        <f t="shared" ca="1" si="74"/>
        <v>6025.55</v>
      </c>
    </row>
    <row r="687" spans="1:17" x14ac:dyDescent="0.25">
      <c r="A687" t="s">
        <v>691</v>
      </c>
      <c r="B687" t="s">
        <v>908</v>
      </c>
      <c r="C687" s="1">
        <v>45346</v>
      </c>
      <c r="D687" s="1">
        <v>45391</v>
      </c>
      <c r="E687">
        <v>4483.34</v>
      </c>
      <c r="F687" t="s">
        <v>915</v>
      </c>
      <c r="G687" t="s">
        <v>916</v>
      </c>
      <c r="I687" t="s">
        <v>919</v>
      </c>
      <c r="J687" t="b">
        <f t="shared" si="70"/>
        <v>1</v>
      </c>
      <c r="K687" s="3">
        <f t="shared" ca="1" si="71"/>
        <v>705</v>
      </c>
      <c r="L687" s="3">
        <f t="shared" ca="1" si="72"/>
        <v>660</v>
      </c>
      <c r="M687" t="str">
        <f t="shared" ca="1" si="73"/>
        <v>Overdue</v>
      </c>
      <c r="N687">
        <f t="shared" si="75"/>
        <v>4483.34</v>
      </c>
      <c r="O687" t="str" cm="1">
        <f t="array" aca="1" ref="O687" ca="1">_xlfn.IFS(
L687&lt;=0,"Not Due",
L687&lt;=30,"0–30 Days",
L687&lt;=60,"31–60 Days",
L687&lt;=90,"61–90 Days",
L687&lt;=180,"91–180 Days",
L687&lt;=365,"181–365 Days",
L687&gt;365,"365+ Days (High Risk)"
)</f>
        <v>365+ Days (High Risk)</v>
      </c>
      <c r="P687">
        <f t="shared" si="76"/>
        <v>0</v>
      </c>
      <c r="Q687" s="3">
        <f t="shared" ca="1" si="74"/>
        <v>4483.34</v>
      </c>
    </row>
    <row r="688" spans="1:17" x14ac:dyDescent="0.25">
      <c r="A688" t="s">
        <v>692</v>
      </c>
      <c r="B688" t="s">
        <v>909</v>
      </c>
      <c r="C688" s="1">
        <v>45796</v>
      </c>
      <c r="D688" s="1">
        <v>45841</v>
      </c>
      <c r="E688">
        <v>1864.5</v>
      </c>
      <c r="F688" t="s">
        <v>913</v>
      </c>
      <c r="G688" t="s">
        <v>917</v>
      </c>
      <c r="I688" t="s">
        <v>919</v>
      </c>
      <c r="J688" t="b">
        <f t="shared" si="70"/>
        <v>1</v>
      </c>
      <c r="K688" s="3">
        <f t="shared" ca="1" si="71"/>
        <v>255</v>
      </c>
      <c r="L688" s="3">
        <f t="shared" ca="1" si="72"/>
        <v>210</v>
      </c>
      <c r="M688" t="str">
        <f t="shared" ca="1" si="73"/>
        <v>Overdue</v>
      </c>
      <c r="N688">
        <f t="shared" si="75"/>
        <v>1864.5</v>
      </c>
      <c r="O688" t="str" cm="1">
        <f t="array" aca="1" ref="O688" ca="1">_xlfn.IFS(
L688&lt;=0,"Not Due",
L688&lt;=30,"0–30 Days",
L688&lt;=60,"31–60 Days",
L688&lt;=90,"61–90 Days",
L688&lt;=180,"91–180 Days",
L688&lt;=365,"181–365 Days",
L688&gt;365,"365+ Days (High Risk)"
)</f>
        <v>181–365 Days</v>
      </c>
      <c r="P688">
        <f t="shared" si="76"/>
        <v>0</v>
      </c>
      <c r="Q688" s="3">
        <f t="shared" ca="1" si="74"/>
        <v>1864.5</v>
      </c>
    </row>
    <row r="689" spans="1:17" x14ac:dyDescent="0.25">
      <c r="A689" t="s">
        <v>693</v>
      </c>
      <c r="B689" t="s">
        <v>909</v>
      </c>
      <c r="C689" s="1">
        <v>45235</v>
      </c>
      <c r="D689" s="1">
        <v>45280</v>
      </c>
      <c r="E689">
        <v>3805.4</v>
      </c>
      <c r="F689" t="s">
        <v>914</v>
      </c>
      <c r="G689" t="s">
        <v>917</v>
      </c>
      <c r="I689" t="s">
        <v>919</v>
      </c>
      <c r="J689" t="b">
        <f t="shared" si="70"/>
        <v>1</v>
      </c>
      <c r="K689" s="3">
        <f t="shared" ca="1" si="71"/>
        <v>816</v>
      </c>
      <c r="L689" s="3">
        <f t="shared" ca="1" si="72"/>
        <v>771</v>
      </c>
      <c r="M689" t="str">
        <f t="shared" ca="1" si="73"/>
        <v>Overdue</v>
      </c>
      <c r="N689">
        <f t="shared" si="75"/>
        <v>3805.4</v>
      </c>
      <c r="O689" t="str" cm="1">
        <f t="array" aca="1" ref="O689" ca="1">_xlfn.IFS(
L689&lt;=0,"Not Due",
L689&lt;=30,"0–30 Days",
L689&lt;=60,"31–60 Days",
L689&lt;=90,"61–90 Days",
L689&lt;=180,"91–180 Days",
L689&lt;=365,"181–365 Days",
L689&gt;365,"365+ Days (High Risk)"
)</f>
        <v>365+ Days (High Risk)</v>
      </c>
      <c r="P689">
        <f t="shared" si="76"/>
        <v>0</v>
      </c>
      <c r="Q689" s="3">
        <f t="shared" ca="1" si="74"/>
        <v>3805.4</v>
      </c>
    </row>
    <row r="690" spans="1:17" x14ac:dyDescent="0.25">
      <c r="A690" t="s">
        <v>694</v>
      </c>
      <c r="B690" t="s">
        <v>909</v>
      </c>
      <c r="C690" s="1">
        <v>45091</v>
      </c>
      <c r="D690" s="1">
        <v>45136</v>
      </c>
      <c r="E690">
        <v>3548.95</v>
      </c>
      <c r="F690" t="s">
        <v>913</v>
      </c>
      <c r="G690" t="s">
        <v>917</v>
      </c>
      <c r="I690" t="s">
        <v>919</v>
      </c>
      <c r="J690" t="b">
        <f t="shared" si="70"/>
        <v>1</v>
      </c>
      <c r="K690" s="3">
        <f t="shared" ca="1" si="71"/>
        <v>960</v>
      </c>
      <c r="L690" s="3">
        <f t="shared" ca="1" si="72"/>
        <v>915</v>
      </c>
      <c r="M690" t="str">
        <f t="shared" ca="1" si="73"/>
        <v>Overdue</v>
      </c>
      <c r="N690">
        <f t="shared" si="75"/>
        <v>3548.95</v>
      </c>
      <c r="O690" t="str" cm="1">
        <f t="array" aca="1" ref="O690" ca="1">_xlfn.IFS(
L690&lt;=0,"Not Due",
L690&lt;=30,"0–30 Days",
L690&lt;=60,"31–60 Days",
L690&lt;=90,"61–90 Days",
L690&lt;=180,"91–180 Days",
L690&lt;=365,"181–365 Days",
L690&gt;365,"365+ Days (High Risk)"
)</f>
        <v>365+ Days (High Risk)</v>
      </c>
      <c r="P690">
        <f t="shared" si="76"/>
        <v>0</v>
      </c>
      <c r="Q690" s="3">
        <f t="shared" ca="1" si="74"/>
        <v>3548.95</v>
      </c>
    </row>
    <row r="691" spans="1:17" x14ac:dyDescent="0.25">
      <c r="A691" t="s">
        <v>695</v>
      </c>
      <c r="B691" t="s">
        <v>906</v>
      </c>
      <c r="C691" s="1">
        <v>45621</v>
      </c>
      <c r="D691" s="1">
        <v>45666</v>
      </c>
      <c r="E691">
        <v>283.44</v>
      </c>
      <c r="F691" t="s">
        <v>913</v>
      </c>
      <c r="G691" t="s">
        <v>917</v>
      </c>
      <c r="I691" t="s">
        <v>919</v>
      </c>
      <c r="J691" t="b">
        <f t="shared" si="70"/>
        <v>1</v>
      </c>
      <c r="K691" s="3">
        <f t="shared" ca="1" si="71"/>
        <v>430</v>
      </c>
      <c r="L691" s="3">
        <f t="shared" ca="1" si="72"/>
        <v>385</v>
      </c>
      <c r="M691" t="str">
        <f t="shared" ca="1" si="73"/>
        <v>Overdue</v>
      </c>
      <c r="N691">
        <f t="shared" si="75"/>
        <v>283.44</v>
      </c>
      <c r="O691" t="str" cm="1">
        <f t="array" aca="1" ref="O691" ca="1">_xlfn.IFS(
L691&lt;=0,"Not Due",
L691&lt;=30,"0–30 Days",
L691&lt;=60,"31–60 Days",
L691&lt;=90,"61–90 Days",
L691&lt;=180,"91–180 Days",
L691&lt;=365,"181–365 Days",
L691&gt;365,"365+ Days (High Risk)"
)</f>
        <v>365+ Days (High Risk)</v>
      </c>
      <c r="P691">
        <f t="shared" si="76"/>
        <v>0</v>
      </c>
      <c r="Q691" s="3">
        <f t="shared" ca="1" si="74"/>
        <v>283.44</v>
      </c>
    </row>
    <row r="692" spans="1:17" x14ac:dyDescent="0.25">
      <c r="A692" t="s">
        <v>696</v>
      </c>
      <c r="B692" t="s">
        <v>910</v>
      </c>
      <c r="C692" s="1">
        <v>45075</v>
      </c>
      <c r="D692" s="1">
        <v>45120</v>
      </c>
      <c r="E692">
        <v>3193.11</v>
      </c>
      <c r="F692" t="s">
        <v>913</v>
      </c>
      <c r="G692" t="s">
        <v>917</v>
      </c>
      <c r="I692" t="s">
        <v>919</v>
      </c>
      <c r="J692" t="b">
        <f t="shared" si="70"/>
        <v>1</v>
      </c>
      <c r="K692" s="3">
        <f t="shared" ca="1" si="71"/>
        <v>976</v>
      </c>
      <c r="L692" s="3">
        <f t="shared" ca="1" si="72"/>
        <v>931</v>
      </c>
      <c r="M692" t="str">
        <f t="shared" ca="1" si="73"/>
        <v>Overdue</v>
      </c>
      <c r="N692">
        <f t="shared" si="75"/>
        <v>3193.11</v>
      </c>
      <c r="O692" t="str" cm="1">
        <f t="array" aca="1" ref="O692" ca="1">_xlfn.IFS(
L692&lt;=0,"Not Due",
L692&lt;=30,"0–30 Days",
L692&lt;=60,"31–60 Days",
L692&lt;=90,"61–90 Days",
L692&lt;=180,"91–180 Days",
L692&lt;=365,"181–365 Days",
L692&gt;365,"365+ Days (High Risk)"
)</f>
        <v>365+ Days (High Risk)</v>
      </c>
      <c r="P692">
        <f t="shared" si="76"/>
        <v>0</v>
      </c>
      <c r="Q692" s="3">
        <f t="shared" ca="1" si="74"/>
        <v>3193.11</v>
      </c>
    </row>
    <row r="693" spans="1:17" x14ac:dyDescent="0.25">
      <c r="A693" t="s">
        <v>697</v>
      </c>
      <c r="B693" t="s">
        <v>907</v>
      </c>
      <c r="C693" s="1">
        <v>44946</v>
      </c>
      <c r="D693" s="1">
        <v>44991</v>
      </c>
      <c r="E693">
        <v>2760.66</v>
      </c>
      <c r="F693" t="s">
        <v>915</v>
      </c>
      <c r="G693" t="s">
        <v>916</v>
      </c>
      <c r="I693" t="s">
        <v>919</v>
      </c>
      <c r="J693" t="b">
        <f t="shared" si="70"/>
        <v>1</v>
      </c>
      <c r="K693" s="3">
        <f t="shared" ca="1" si="71"/>
        <v>1105</v>
      </c>
      <c r="L693" s="3">
        <f t="shared" ca="1" si="72"/>
        <v>1060</v>
      </c>
      <c r="M693" t="str">
        <f t="shared" ca="1" si="73"/>
        <v>Overdue</v>
      </c>
      <c r="N693">
        <f t="shared" si="75"/>
        <v>2760.66</v>
      </c>
      <c r="O693" t="str" cm="1">
        <f t="array" aca="1" ref="O693" ca="1">_xlfn.IFS(
L693&lt;=0,"Not Due",
L693&lt;=30,"0–30 Days",
L693&lt;=60,"31–60 Days",
L693&lt;=90,"61–90 Days",
L693&lt;=180,"91–180 Days",
L693&lt;=365,"181–365 Days",
L693&gt;365,"365+ Days (High Risk)"
)</f>
        <v>365+ Days (High Risk)</v>
      </c>
      <c r="P693">
        <f t="shared" si="76"/>
        <v>0</v>
      </c>
      <c r="Q693" s="3">
        <f t="shared" ca="1" si="74"/>
        <v>2760.66</v>
      </c>
    </row>
    <row r="694" spans="1:17" x14ac:dyDescent="0.25">
      <c r="A694" t="s">
        <v>698</v>
      </c>
      <c r="B694" t="s">
        <v>910</v>
      </c>
      <c r="C694" s="1">
        <v>45450</v>
      </c>
      <c r="D694" s="1">
        <v>45495</v>
      </c>
      <c r="E694">
        <v>5320.56</v>
      </c>
      <c r="F694" t="s">
        <v>915</v>
      </c>
      <c r="G694" t="s">
        <v>918</v>
      </c>
      <c r="H694" s="1">
        <v>45495</v>
      </c>
      <c r="I694" t="s">
        <v>919</v>
      </c>
      <c r="J694" t="b">
        <f t="shared" si="70"/>
        <v>0</v>
      </c>
      <c r="K694" s="3">
        <f t="shared" ca="1" si="71"/>
        <v>45</v>
      </c>
      <c r="L694" s="3">
        <f t="shared" ca="1" si="72"/>
        <v>0</v>
      </c>
      <c r="M694" t="str">
        <f t="shared" ca="1" si="73"/>
        <v>On Time</v>
      </c>
      <c r="N694">
        <f t="shared" si="75"/>
        <v>0</v>
      </c>
      <c r="O694" t="str" cm="1">
        <f t="array" aca="1" ref="O694" ca="1">_xlfn.IFS(
L694&lt;=0,"Not Due",
L694&lt;=30,"0–30 Days",
L694&lt;=60,"31–60 Days",
L694&lt;=90,"61–90 Days",
L694&lt;=180,"91–180 Days",
L694&lt;=365,"181–365 Days",
L694&gt;365,"365+ Days (High Risk)"
)</f>
        <v>Not Due</v>
      </c>
      <c r="P694">
        <f t="shared" si="76"/>
        <v>5320.56</v>
      </c>
      <c r="Q694" s="3">
        <f t="shared" ca="1" si="74"/>
        <v>0</v>
      </c>
    </row>
    <row r="695" spans="1:17" x14ac:dyDescent="0.25">
      <c r="A695" t="s">
        <v>699</v>
      </c>
      <c r="B695" t="s">
        <v>908</v>
      </c>
      <c r="C695" s="1">
        <v>44947</v>
      </c>
      <c r="D695" s="1">
        <v>44992</v>
      </c>
      <c r="E695">
        <v>4442.5200000000004</v>
      </c>
      <c r="F695" t="s">
        <v>913</v>
      </c>
      <c r="G695" t="s">
        <v>916</v>
      </c>
      <c r="I695" t="s">
        <v>919</v>
      </c>
      <c r="J695" t="b">
        <f t="shared" si="70"/>
        <v>1</v>
      </c>
      <c r="K695" s="3">
        <f t="shared" ca="1" si="71"/>
        <v>1104</v>
      </c>
      <c r="L695" s="3">
        <f t="shared" ca="1" si="72"/>
        <v>1059</v>
      </c>
      <c r="M695" t="str">
        <f t="shared" ca="1" si="73"/>
        <v>Overdue</v>
      </c>
      <c r="N695">
        <f t="shared" si="75"/>
        <v>4442.5200000000004</v>
      </c>
      <c r="O695" t="str" cm="1">
        <f t="array" aca="1" ref="O695" ca="1">_xlfn.IFS(
L695&lt;=0,"Not Due",
L695&lt;=30,"0–30 Days",
L695&lt;=60,"31–60 Days",
L695&lt;=90,"61–90 Days",
L695&lt;=180,"91–180 Days",
L695&lt;=365,"181–365 Days",
L695&gt;365,"365+ Days (High Risk)"
)</f>
        <v>365+ Days (High Risk)</v>
      </c>
      <c r="P695">
        <f t="shared" si="76"/>
        <v>0</v>
      </c>
      <c r="Q695" s="3">
        <f t="shared" ca="1" si="74"/>
        <v>4442.5200000000004</v>
      </c>
    </row>
    <row r="696" spans="1:17" x14ac:dyDescent="0.25">
      <c r="A696" t="s">
        <v>700</v>
      </c>
      <c r="B696" t="s">
        <v>909</v>
      </c>
      <c r="C696" s="1">
        <v>45200</v>
      </c>
      <c r="D696" s="1">
        <v>45245</v>
      </c>
      <c r="E696">
        <v>6614.86</v>
      </c>
      <c r="F696" t="s">
        <v>912</v>
      </c>
      <c r="G696" t="s">
        <v>916</v>
      </c>
      <c r="I696" t="s">
        <v>919</v>
      </c>
      <c r="J696" t="b">
        <f t="shared" si="70"/>
        <v>1</v>
      </c>
      <c r="K696" s="3">
        <f t="shared" ca="1" si="71"/>
        <v>851</v>
      </c>
      <c r="L696" s="3">
        <f t="shared" ca="1" si="72"/>
        <v>806</v>
      </c>
      <c r="M696" t="str">
        <f t="shared" ca="1" si="73"/>
        <v>Overdue</v>
      </c>
      <c r="N696">
        <f t="shared" si="75"/>
        <v>6614.86</v>
      </c>
      <c r="O696" t="str" cm="1">
        <f t="array" aca="1" ref="O696" ca="1">_xlfn.IFS(
L696&lt;=0,"Not Due",
L696&lt;=30,"0–30 Days",
L696&lt;=60,"31–60 Days",
L696&lt;=90,"61–90 Days",
L696&lt;=180,"91–180 Days",
L696&lt;=365,"181–365 Days",
L696&gt;365,"365+ Days (High Risk)"
)</f>
        <v>365+ Days (High Risk)</v>
      </c>
      <c r="P696">
        <f t="shared" si="76"/>
        <v>0</v>
      </c>
      <c r="Q696" s="3">
        <f t="shared" ca="1" si="74"/>
        <v>6614.86</v>
      </c>
    </row>
    <row r="697" spans="1:17" x14ac:dyDescent="0.25">
      <c r="A697" t="s">
        <v>701</v>
      </c>
      <c r="B697" t="s">
        <v>909</v>
      </c>
      <c r="C697" s="1">
        <v>45607</v>
      </c>
      <c r="D697" s="1">
        <v>45652</v>
      </c>
      <c r="E697">
        <v>2556.04</v>
      </c>
      <c r="F697" t="s">
        <v>911</v>
      </c>
      <c r="G697" t="s">
        <v>916</v>
      </c>
      <c r="I697" t="s">
        <v>919</v>
      </c>
      <c r="J697" t="b">
        <f t="shared" si="70"/>
        <v>1</v>
      </c>
      <c r="K697" s="3">
        <f t="shared" ca="1" si="71"/>
        <v>444</v>
      </c>
      <c r="L697" s="3">
        <f t="shared" ca="1" si="72"/>
        <v>399</v>
      </c>
      <c r="M697" t="str">
        <f t="shared" ca="1" si="73"/>
        <v>Overdue</v>
      </c>
      <c r="N697">
        <f t="shared" si="75"/>
        <v>2556.04</v>
      </c>
      <c r="O697" t="str" cm="1">
        <f t="array" aca="1" ref="O697" ca="1">_xlfn.IFS(
L697&lt;=0,"Not Due",
L697&lt;=30,"0–30 Days",
L697&lt;=60,"31–60 Days",
L697&lt;=90,"61–90 Days",
L697&lt;=180,"91–180 Days",
L697&lt;=365,"181–365 Days",
L697&gt;365,"365+ Days (High Risk)"
)</f>
        <v>365+ Days (High Risk)</v>
      </c>
      <c r="P697">
        <f t="shared" si="76"/>
        <v>0</v>
      </c>
      <c r="Q697" s="3">
        <f t="shared" ca="1" si="74"/>
        <v>2556.04</v>
      </c>
    </row>
    <row r="698" spans="1:17" x14ac:dyDescent="0.25">
      <c r="A698" t="s">
        <v>702</v>
      </c>
      <c r="B698" t="s">
        <v>906</v>
      </c>
      <c r="C698" s="1">
        <v>45523</v>
      </c>
      <c r="D698" s="1">
        <v>45568</v>
      </c>
      <c r="E698">
        <v>2111.52</v>
      </c>
      <c r="F698" t="s">
        <v>915</v>
      </c>
      <c r="G698" t="s">
        <v>917</v>
      </c>
      <c r="I698" t="s">
        <v>919</v>
      </c>
      <c r="J698" t="b">
        <f t="shared" si="70"/>
        <v>1</v>
      </c>
      <c r="K698" s="3">
        <f t="shared" ca="1" si="71"/>
        <v>528</v>
      </c>
      <c r="L698" s="3">
        <f t="shared" ca="1" si="72"/>
        <v>483</v>
      </c>
      <c r="M698" t="str">
        <f t="shared" ca="1" si="73"/>
        <v>Overdue</v>
      </c>
      <c r="N698">
        <f t="shared" si="75"/>
        <v>2111.52</v>
      </c>
      <c r="O698" t="str" cm="1">
        <f t="array" aca="1" ref="O698" ca="1">_xlfn.IFS(
L698&lt;=0,"Not Due",
L698&lt;=30,"0–30 Days",
L698&lt;=60,"31–60 Days",
L698&lt;=90,"61–90 Days",
L698&lt;=180,"91–180 Days",
L698&lt;=365,"181–365 Days",
L698&gt;365,"365+ Days (High Risk)"
)</f>
        <v>365+ Days (High Risk)</v>
      </c>
      <c r="P698">
        <f t="shared" si="76"/>
        <v>0</v>
      </c>
      <c r="Q698" s="3">
        <f t="shared" ca="1" si="74"/>
        <v>2111.52</v>
      </c>
    </row>
    <row r="699" spans="1:17" x14ac:dyDescent="0.25">
      <c r="A699" t="s">
        <v>703</v>
      </c>
      <c r="B699" t="s">
        <v>908</v>
      </c>
      <c r="C699" s="1">
        <v>45372</v>
      </c>
      <c r="D699" s="1">
        <v>45417</v>
      </c>
      <c r="E699">
        <v>982.36</v>
      </c>
      <c r="F699" t="s">
        <v>912</v>
      </c>
      <c r="G699" t="s">
        <v>916</v>
      </c>
      <c r="I699" t="s">
        <v>919</v>
      </c>
      <c r="J699" t="b">
        <f t="shared" si="70"/>
        <v>1</v>
      </c>
      <c r="K699" s="3">
        <f t="shared" ca="1" si="71"/>
        <v>679</v>
      </c>
      <c r="L699" s="3">
        <f t="shared" ca="1" si="72"/>
        <v>634</v>
      </c>
      <c r="M699" t="str">
        <f t="shared" ca="1" si="73"/>
        <v>Overdue</v>
      </c>
      <c r="N699">
        <f t="shared" si="75"/>
        <v>982.36</v>
      </c>
      <c r="O699" t="str" cm="1">
        <f t="array" aca="1" ref="O699" ca="1">_xlfn.IFS(
L699&lt;=0,"Not Due",
L699&lt;=30,"0–30 Days",
L699&lt;=60,"31–60 Days",
L699&lt;=90,"61–90 Days",
L699&lt;=180,"91–180 Days",
L699&lt;=365,"181–365 Days",
L699&gt;365,"365+ Days (High Risk)"
)</f>
        <v>365+ Days (High Risk)</v>
      </c>
      <c r="P699">
        <f t="shared" si="76"/>
        <v>0</v>
      </c>
      <c r="Q699" s="3">
        <f t="shared" ca="1" si="74"/>
        <v>982.36</v>
      </c>
    </row>
    <row r="700" spans="1:17" x14ac:dyDescent="0.25">
      <c r="A700" t="s">
        <v>704</v>
      </c>
      <c r="B700" t="s">
        <v>909</v>
      </c>
      <c r="C700" s="1">
        <v>45362</v>
      </c>
      <c r="D700" s="1">
        <v>45407</v>
      </c>
      <c r="E700">
        <v>5662.81</v>
      </c>
      <c r="F700" t="s">
        <v>912</v>
      </c>
      <c r="G700" t="s">
        <v>916</v>
      </c>
      <c r="I700" t="s">
        <v>919</v>
      </c>
      <c r="J700" t="b">
        <f t="shared" si="70"/>
        <v>1</v>
      </c>
      <c r="K700" s="3">
        <f t="shared" ca="1" si="71"/>
        <v>689</v>
      </c>
      <c r="L700" s="3">
        <f t="shared" ca="1" si="72"/>
        <v>644</v>
      </c>
      <c r="M700" t="str">
        <f t="shared" ca="1" si="73"/>
        <v>Overdue</v>
      </c>
      <c r="N700">
        <f t="shared" si="75"/>
        <v>5662.81</v>
      </c>
      <c r="O700" t="str" cm="1">
        <f t="array" aca="1" ref="O700" ca="1">_xlfn.IFS(
L700&lt;=0,"Not Due",
L700&lt;=30,"0–30 Days",
L700&lt;=60,"31–60 Days",
L700&lt;=90,"61–90 Days",
L700&lt;=180,"91–180 Days",
L700&lt;=365,"181–365 Days",
L700&gt;365,"365+ Days (High Risk)"
)</f>
        <v>365+ Days (High Risk)</v>
      </c>
      <c r="P700">
        <f t="shared" si="76"/>
        <v>0</v>
      </c>
      <c r="Q700" s="3">
        <f t="shared" ca="1" si="74"/>
        <v>5662.81</v>
      </c>
    </row>
    <row r="701" spans="1:17" x14ac:dyDescent="0.25">
      <c r="A701" t="s">
        <v>705</v>
      </c>
      <c r="B701" t="s">
        <v>906</v>
      </c>
      <c r="C701" s="1">
        <v>45441</v>
      </c>
      <c r="D701" s="1">
        <v>45486</v>
      </c>
      <c r="E701">
        <v>5466.25</v>
      </c>
      <c r="F701" t="s">
        <v>912</v>
      </c>
      <c r="G701" t="s">
        <v>916</v>
      </c>
      <c r="I701" t="s">
        <v>919</v>
      </c>
      <c r="J701" t="b">
        <f t="shared" si="70"/>
        <v>1</v>
      </c>
      <c r="K701" s="3">
        <f t="shared" ca="1" si="71"/>
        <v>610</v>
      </c>
      <c r="L701" s="3">
        <f t="shared" ca="1" si="72"/>
        <v>565</v>
      </c>
      <c r="M701" t="str">
        <f t="shared" ca="1" si="73"/>
        <v>Overdue</v>
      </c>
      <c r="N701">
        <f t="shared" si="75"/>
        <v>5466.25</v>
      </c>
      <c r="O701" t="str" cm="1">
        <f t="array" aca="1" ref="O701" ca="1">_xlfn.IFS(
L701&lt;=0,"Not Due",
L701&lt;=30,"0–30 Days",
L701&lt;=60,"31–60 Days",
L701&lt;=90,"61–90 Days",
L701&lt;=180,"91–180 Days",
L701&lt;=365,"181–365 Days",
L701&gt;365,"365+ Days (High Risk)"
)</f>
        <v>365+ Days (High Risk)</v>
      </c>
      <c r="P701">
        <f t="shared" si="76"/>
        <v>0</v>
      </c>
      <c r="Q701" s="3">
        <f t="shared" ca="1" si="74"/>
        <v>5466.25</v>
      </c>
    </row>
    <row r="702" spans="1:17" x14ac:dyDescent="0.25">
      <c r="A702" t="s">
        <v>706</v>
      </c>
      <c r="B702" t="s">
        <v>906</v>
      </c>
      <c r="C702" s="1">
        <v>45354</v>
      </c>
      <c r="D702" s="1">
        <v>45399</v>
      </c>
      <c r="E702">
        <v>5790.42</v>
      </c>
      <c r="F702" t="s">
        <v>912</v>
      </c>
      <c r="G702" t="s">
        <v>916</v>
      </c>
      <c r="I702" t="s">
        <v>919</v>
      </c>
      <c r="J702" t="b">
        <f t="shared" si="70"/>
        <v>1</v>
      </c>
      <c r="K702" s="3">
        <f t="shared" ca="1" si="71"/>
        <v>697</v>
      </c>
      <c r="L702" s="3">
        <f t="shared" ca="1" si="72"/>
        <v>652</v>
      </c>
      <c r="M702" t="str">
        <f t="shared" ca="1" si="73"/>
        <v>Overdue</v>
      </c>
      <c r="N702">
        <f t="shared" si="75"/>
        <v>5790.42</v>
      </c>
      <c r="O702" t="str" cm="1">
        <f t="array" aca="1" ref="O702" ca="1">_xlfn.IFS(
L702&lt;=0,"Not Due",
L702&lt;=30,"0–30 Days",
L702&lt;=60,"31–60 Days",
L702&lt;=90,"61–90 Days",
L702&lt;=180,"91–180 Days",
L702&lt;=365,"181–365 Days",
L702&gt;365,"365+ Days (High Risk)"
)</f>
        <v>365+ Days (High Risk)</v>
      </c>
      <c r="P702">
        <f t="shared" si="76"/>
        <v>0</v>
      </c>
      <c r="Q702" s="3">
        <f t="shared" ca="1" si="74"/>
        <v>5790.42</v>
      </c>
    </row>
    <row r="703" spans="1:17" x14ac:dyDescent="0.25">
      <c r="A703" t="s">
        <v>707</v>
      </c>
      <c r="B703" t="s">
        <v>908</v>
      </c>
      <c r="C703" s="1">
        <v>45268</v>
      </c>
      <c r="D703" s="1">
        <v>45313</v>
      </c>
      <c r="E703">
        <v>5414.66</v>
      </c>
      <c r="F703" t="s">
        <v>912</v>
      </c>
      <c r="G703" t="s">
        <v>918</v>
      </c>
      <c r="H703" s="1">
        <v>45313</v>
      </c>
      <c r="I703" t="s">
        <v>919</v>
      </c>
      <c r="J703" t="b">
        <f t="shared" si="70"/>
        <v>0</v>
      </c>
      <c r="K703" s="3">
        <f t="shared" ca="1" si="71"/>
        <v>45</v>
      </c>
      <c r="L703" s="3">
        <f t="shared" ca="1" si="72"/>
        <v>0</v>
      </c>
      <c r="M703" t="str">
        <f t="shared" ca="1" si="73"/>
        <v>On Time</v>
      </c>
      <c r="N703">
        <f t="shared" si="75"/>
        <v>0</v>
      </c>
      <c r="O703" t="str" cm="1">
        <f t="array" aca="1" ref="O703" ca="1">_xlfn.IFS(
L703&lt;=0,"Not Due",
L703&lt;=30,"0–30 Days",
L703&lt;=60,"31–60 Days",
L703&lt;=90,"61–90 Days",
L703&lt;=180,"91–180 Days",
L703&lt;=365,"181–365 Days",
L703&gt;365,"365+ Days (High Risk)"
)</f>
        <v>Not Due</v>
      </c>
      <c r="P703">
        <f t="shared" si="76"/>
        <v>5414.66</v>
      </c>
      <c r="Q703" s="3">
        <f t="shared" ca="1" si="74"/>
        <v>0</v>
      </c>
    </row>
    <row r="704" spans="1:17" x14ac:dyDescent="0.25">
      <c r="A704" t="s">
        <v>708</v>
      </c>
      <c r="B704" t="s">
        <v>910</v>
      </c>
      <c r="C704" s="1">
        <v>45179</v>
      </c>
      <c r="D704" s="1">
        <v>45224</v>
      </c>
      <c r="E704">
        <v>3252.33</v>
      </c>
      <c r="F704" t="s">
        <v>913</v>
      </c>
      <c r="G704" t="s">
        <v>917</v>
      </c>
      <c r="I704" t="s">
        <v>919</v>
      </c>
      <c r="J704" t="b">
        <f t="shared" si="70"/>
        <v>1</v>
      </c>
      <c r="K704" s="3">
        <f t="shared" ca="1" si="71"/>
        <v>872</v>
      </c>
      <c r="L704" s="3">
        <f t="shared" ca="1" si="72"/>
        <v>827</v>
      </c>
      <c r="M704" t="str">
        <f t="shared" ca="1" si="73"/>
        <v>Overdue</v>
      </c>
      <c r="N704">
        <f t="shared" si="75"/>
        <v>3252.33</v>
      </c>
      <c r="O704" t="str" cm="1">
        <f t="array" aca="1" ref="O704" ca="1">_xlfn.IFS(
L704&lt;=0,"Not Due",
L704&lt;=30,"0–30 Days",
L704&lt;=60,"31–60 Days",
L704&lt;=90,"61–90 Days",
L704&lt;=180,"91–180 Days",
L704&lt;=365,"181–365 Days",
L704&gt;365,"365+ Days (High Risk)"
)</f>
        <v>365+ Days (High Risk)</v>
      </c>
      <c r="P704">
        <f t="shared" si="76"/>
        <v>0</v>
      </c>
      <c r="Q704" s="3">
        <f t="shared" ca="1" si="74"/>
        <v>3252.33</v>
      </c>
    </row>
    <row r="705" spans="1:17" x14ac:dyDescent="0.25">
      <c r="A705" t="s">
        <v>709</v>
      </c>
      <c r="B705" t="s">
        <v>909</v>
      </c>
      <c r="C705" s="1">
        <v>45318</v>
      </c>
      <c r="D705" s="1">
        <v>45363</v>
      </c>
      <c r="E705">
        <v>4304.96</v>
      </c>
      <c r="F705" t="s">
        <v>911</v>
      </c>
      <c r="G705" t="s">
        <v>918</v>
      </c>
      <c r="H705" s="1">
        <v>45363</v>
      </c>
      <c r="I705" t="s">
        <v>919</v>
      </c>
      <c r="J705" t="b">
        <f t="shared" si="70"/>
        <v>0</v>
      </c>
      <c r="K705" s="3">
        <f t="shared" ca="1" si="71"/>
        <v>45</v>
      </c>
      <c r="L705" s="3">
        <f t="shared" ca="1" si="72"/>
        <v>0</v>
      </c>
      <c r="M705" t="str">
        <f t="shared" ca="1" si="73"/>
        <v>On Time</v>
      </c>
      <c r="N705">
        <f t="shared" si="75"/>
        <v>0</v>
      </c>
      <c r="O705" t="str" cm="1">
        <f t="array" aca="1" ref="O705" ca="1">_xlfn.IFS(
L705&lt;=0,"Not Due",
L705&lt;=30,"0–30 Days",
L705&lt;=60,"31–60 Days",
L705&lt;=90,"61–90 Days",
L705&lt;=180,"91–180 Days",
L705&lt;=365,"181–365 Days",
L705&gt;365,"365+ Days (High Risk)"
)</f>
        <v>Not Due</v>
      </c>
      <c r="P705">
        <f t="shared" si="76"/>
        <v>4304.96</v>
      </c>
      <c r="Q705" s="3">
        <f t="shared" ca="1" si="74"/>
        <v>0</v>
      </c>
    </row>
    <row r="706" spans="1:17" x14ac:dyDescent="0.25">
      <c r="A706" t="s">
        <v>710</v>
      </c>
      <c r="B706" t="s">
        <v>909</v>
      </c>
      <c r="C706" s="1">
        <v>45817</v>
      </c>
      <c r="D706" s="1">
        <v>45862</v>
      </c>
      <c r="E706">
        <v>1447.17</v>
      </c>
      <c r="F706" t="s">
        <v>914</v>
      </c>
      <c r="G706" t="s">
        <v>916</v>
      </c>
      <c r="I706" t="s">
        <v>919</v>
      </c>
      <c r="J706" t="b">
        <f t="shared" ref="J706:J769" si="77">ISBLANK(H706)</f>
        <v>1</v>
      </c>
      <c r="K706" s="3">
        <f t="shared" ref="K706:K769" ca="1" si="78">IF(G706="Received",
IF(H706="",TODAY()-C706,H706-C706),
TODAY()-C706)</f>
        <v>234</v>
      </c>
      <c r="L706" s="3">
        <f t="shared" ref="L706:L769" ca="1" si="79">IF(N706=0,0,TODAY()-D706)</f>
        <v>189</v>
      </c>
      <c r="M706" t="str">
        <f t="shared" ref="M706:M769" ca="1" si="80">IF(L706&gt;0,"Overdue","On Time")</f>
        <v>Overdue</v>
      </c>
      <c r="N706">
        <f t="shared" si="75"/>
        <v>1447.17</v>
      </c>
      <c r="O706" t="str" cm="1">
        <f t="array" aca="1" ref="O706" ca="1">_xlfn.IFS(
L706&lt;=0,"Not Due",
L706&lt;=30,"0–30 Days",
L706&lt;=60,"31–60 Days",
L706&lt;=90,"61–90 Days",
L706&lt;=180,"91–180 Days",
L706&lt;=365,"181–365 Days",
L706&gt;365,"365+ Days (High Risk)"
)</f>
        <v>181–365 Days</v>
      </c>
      <c r="P706">
        <f t="shared" si="76"/>
        <v>0</v>
      </c>
      <c r="Q706" s="3">
        <f t="shared" ref="Q706:Q769" ca="1" si="81">IF(L706&gt;0, N706, 0)</f>
        <v>1447.17</v>
      </c>
    </row>
    <row r="707" spans="1:17" x14ac:dyDescent="0.25">
      <c r="A707" t="s">
        <v>711</v>
      </c>
      <c r="B707" t="s">
        <v>906</v>
      </c>
      <c r="C707" s="1">
        <v>45509</v>
      </c>
      <c r="D707" s="1">
        <v>45554</v>
      </c>
      <c r="E707">
        <v>7506.22</v>
      </c>
      <c r="F707" t="s">
        <v>915</v>
      </c>
      <c r="G707" t="s">
        <v>917</v>
      </c>
      <c r="I707" t="s">
        <v>919</v>
      </c>
      <c r="J707" t="b">
        <f t="shared" si="77"/>
        <v>1</v>
      </c>
      <c r="K707" s="3">
        <f t="shared" ca="1" si="78"/>
        <v>542</v>
      </c>
      <c r="L707" s="3">
        <f t="shared" ca="1" si="79"/>
        <v>497</v>
      </c>
      <c r="M707" t="str">
        <f t="shared" ca="1" si="80"/>
        <v>Overdue</v>
      </c>
      <c r="N707">
        <f t="shared" ref="N707:N770" si="82">IF(G707="Received",0,E707)</f>
        <v>7506.22</v>
      </c>
      <c r="O707" t="str" cm="1">
        <f t="array" aca="1" ref="O707" ca="1">_xlfn.IFS(
L707&lt;=0,"Not Due",
L707&lt;=30,"0–30 Days",
L707&lt;=60,"31–60 Days",
L707&lt;=90,"61–90 Days",
L707&lt;=180,"91–180 Days",
L707&lt;=365,"181–365 Days",
L707&gt;365,"365+ Days (High Risk)"
)</f>
        <v>365+ Days (High Risk)</v>
      </c>
      <c r="P707">
        <f t="shared" ref="P707:P770" si="83">E707-N707</f>
        <v>0</v>
      </c>
      <c r="Q707" s="3">
        <f t="shared" ca="1" si="81"/>
        <v>7506.22</v>
      </c>
    </row>
    <row r="708" spans="1:17" x14ac:dyDescent="0.25">
      <c r="A708" t="s">
        <v>712</v>
      </c>
      <c r="B708" t="s">
        <v>909</v>
      </c>
      <c r="C708" s="1">
        <v>45761</v>
      </c>
      <c r="D708" s="1">
        <v>45806</v>
      </c>
      <c r="E708">
        <v>7912.6</v>
      </c>
      <c r="F708" t="s">
        <v>911</v>
      </c>
      <c r="G708" t="s">
        <v>916</v>
      </c>
      <c r="I708" t="s">
        <v>919</v>
      </c>
      <c r="J708" t="b">
        <f t="shared" si="77"/>
        <v>1</v>
      </c>
      <c r="K708" s="3">
        <f t="shared" ca="1" si="78"/>
        <v>290</v>
      </c>
      <c r="L708" s="3">
        <f t="shared" ca="1" si="79"/>
        <v>245</v>
      </c>
      <c r="M708" t="str">
        <f t="shared" ca="1" si="80"/>
        <v>Overdue</v>
      </c>
      <c r="N708">
        <f t="shared" si="82"/>
        <v>7912.6</v>
      </c>
      <c r="O708" t="str" cm="1">
        <f t="array" aca="1" ref="O708" ca="1">_xlfn.IFS(
L708&lt;=0,"Not Due",
L708&lt;=30,"0–30 Days",
L708&lt;=60,"31–60 Days",
L708&lt;=90,"61–90 Days",
L708&lt;=180,"91–180 Days",
L708&lt;=365,"181–365 Days",
L708&gt;365,"365+ Days (High Risk)"
)</f>
        <v>181–365 Days</v>
      </c>
      <c r="P708">
        <f t="shared" si="83"/>
        <v>0</v>
      </c>
      <c r="Q708" s="3">
        <f t="shared" ca="1" si="81"/>
        <v>7912.6</v>
      </c>
    </row>
    <row r="709" spans="1:17" x14ac:dyDescent="0.25">
      <c r="A709" t="s">
        <v>713</v>
      </c>
      <c r="B709" t="s">
        <v>909</v>
      </c>
      <c r="C709" s="1">
        <v>45146</v>
      </c>
      <c r="D709" s="1">
        <v>45191</v>
      </c>
      <c r="E709">
        <v>4014.31</v>
      </c>
      <c r="F709" t="s">
        <v>914</v>
      </c>
      <c r="G709" t="s">
        <v>918</v>
      </c>
      <c r="H709" s="1">
        <v>45191</v>
      </c>
      <c r="I709" t="s">
        <v>919</v>
      </c>
      <c r="J709" t="b">
        <f t="shared" si="77"/>
        <v>0</v>
      </c>
      <c r="K709" s="3">
        <f t="shared" ca="1" si="78"/>
        <v>45</v>
      </c>
      <c r="L709" s="3">
        <f t="shared" ca="1" si="79"/>
        <v>0</v>
      </c>
      <c r="M709" t="str">
        <f t="shared" ca="1" si="80"/>
        <v>On Time</v>
      </c>
      <c r="N709">
        <f t="shared" si="82"/>
        <v>0</v>
      </c>
      <c r="O709" t="str" cm="1">
        <f t="array" aca="1" ref="O709" ca="1">_xlfn.IFS(
L709&lt;=0,"Not Due",
L709&lt;=30,"0–30 Days",
L709&lt;=60,"31–60 Days",
L709&lt;=90,"61–90 Days",
L709&lt;=180,"91–180 Days",
L709&lt;=365,"181–365 Days",
L709&gt;365,"365+ Days (High Risk)"
)</f>
        <v>Not Due</v>
      </c>
      <c r="P709">
        <f t="shared" si="83"/>
        <v>4014.31</v>
      </c>
      <c r="Q709" s="3">
        <f t="shared" ca="1" si="81"/>
        <v>0</v>
      </c>
    </row>
    <row r="710" spans="1:17" x14ac:dyDescent="0.25">
      <c r="A710" t="s">
        <v>714</v>
      </c>
      <c r="B710" t="s">
        <v>910</v>
      </c>
      <c r="C710" s="1">
        <v>44982</v>
      </c>
      <c r="D710" s="1">
        <v>45027</v>
      </c>
      <c r="E710">
        <v>6682.82</v>
      </c>
      <c r="F710" t="s">
        <v>912</v>
      </c>
      <c r="G710" t="s">
        <v>917</v>
      </c>
      <c r="I710" t="s">
        <v>919</v>
      </c>
      <c r="J710" t="b">
        <f t="shared" si="77"/>
        <v>1</v>
      </c>
      <c r="K710" s="3">
        <f t="shared" ca="1" si="78"/>
        <v>1069</v>
      </c>
      <c r="L710" s="3">
        <f t="shared" ca="1" si="79"/>
        <v>1024</v>
      </c>
      <c r="M710" t="str">
        <f t="shared" ca="1" si="80"/>
        <v>Overdue</v>
      </c>
      <c r="N710">
        <f t="shared" si="82"/>
        <v>6682.82</v>
      </c>
      <c r="O710" t="str" cm="1">
        <f t="array" aca="1" ref="O710" ca="1">_xlfn.IFS(
L710&lt;=0,"Not Due",
L710&lt;=30,"0–30 Days",
L710&lt;=60,"31–60 Days",
L710&lt;=90,"61–90 Days",
L710&lt;=180,"91–180 Days",
L710&lt;=365,"181–365 Days",
L710&gt;365,"365+ Days (High Risk)"
)</f>
        <v>365+ Days (High Risk)</v>
      </c>
      <c r="P710">
        <f t="shared" si="83"/>
        <v>0</v>
      </c>
      <c r="Q710" s="3">
        <f t="shared" ca="1" si="81"/>
        <v>6682.82</v>
      </c>
    </row>
    <row r="711" spans="1:17" x14ac:dyDescent="0.25">
      <c r="A711" t="s">
        <v>715</v>
      </c>
      <c r="B711" t="s">
        <v>910</v>
      </c>
      <c r="C711" s="1">
        <v>45594</v>
      </c>
      <c r="D711" s="1">
        <v>45639</v>
      </c>
      <c r="E711">
        <v>4718.18</v>
      </c>
      <c r="F711" t="s">
        <v>913</v>
      </c>
      <c r="G711" t="s">
        <v>916</v>
      </c>
      <c r="I711" t="s">
        <v>919</v>
      </c>
      <c r="J711" t="b">
        <f t="shared" si="77"/>
        <v>1</v>
      </c>
      <c r="K711" s="3">
        <f t="shared" ca="1" si="78"/>
        <v>457</v>
      </c>
      <c r="L711" s="3">
        <f t="shared" ca="1" si="79"/>
        <v>412</v>
      </c>
      <c r="M711" t="str">
        <f t="shared" ca="1" si="80"/>
        <v>Overdue</v>
      </c>
      <c r="N711">
        <f t="shared" si="82"/>
        <v>4718.18</v>
      </c>
      <c r="O711" t="str" cm="1">
        <f t="array" aca="1" ref="O711" ca="1">_xlfn.IFS(
L711&lt;=0,"Not Due",
L711&lt;=30,"0–30 Days",
L711&lt;=60,"31–60 Days",
L711&lt;=90,"61–90 Days",
L711&lt;=180,"91–180 Days",
L711&lt;=365,"181–365 Days",
L711&gt;365,"365+ Days (High Risk)"
)</f>
        <v>365+ Days (High Risk)</v>
      </c>
      <c r="P711">
        <f t="shared" si="83"/>
        <v>0</v>
      </c>
      <c r="Q711" s="3">
        <f t="shared" ca="1" si="81"/>
        <v>4718.18</v>
      </c>
    </row>
    <row r="712" spans="1:17" x14ac:dyDescent="0.25">
      <c r="A712" t="s">
        <v>716</v>
      </c>
      <c r="B712" t="s">
        <v>906</v>
      </c>
      <c r="C712" s="1">
        <v>45753</v>
      </c>
      <c r="D712" s="1">
        <v>45798</v>
      </c>
      <c r="E712">
        <v>5413.68</v>
      </c>
      <c r="F712" t="s">
        <v>913</v>
      </c>
      <c r="G712" t="s">
        <v>916</v>
      </c>
      <c r="I712" t="s">
        <v>919</v>
      </c>
      <c r="J712" t="b">
        <f t="shared" si="77"/>
        <v>1</v>
      </c>
      <c r="K712" s="3">
        <f t="shared" ca="1" si="78"/>
        <v>298</v>
      </c>
      <c r="L712" s="3">
        <f t="shared" ca="1" si="79"/>
        <v>253</v>
      </c>
      <c r="M712" t="str">
        <f t="shared" ca="1" si="80"/>
        <v>Overdue</v>
      </c>
      <c r="N712">
        <f t="shared" si="82"/>
        <v>5413.68</v>
      </c>
      <c r="O712" t="str" cm="1">
        <f t="array" aca="1" ref="O712" ca="1">_xlfn.IFS(
L712&lt;=0,"Not Due",
L712&lt;=30,"0–30 Days",
L712&lt;=60,"31–60 Days",
L712&lt;=90,"61–90 Days",
L712&lt;=180,"91–180 Days",
L712&lt;=365,"181–365 Days",
L712&gt;365,"365+ Days (High Risk)"
)</f>
        <v>181–365 Days</v>
      </c>
      <c r="P712">
        <f t="shared" si="83"/>
        <v>0</v>
      </c>
      <c r="Q712" s="3">
        <f t="shared" ca="1" si="81"/>
        <v>5413.68</v>
      </c>
    </row>
    <row r="713" spans="1:17" x14ac:dyDescent="0.25">
      <c r="A713" t="s">
        <v>717</v>
      </c>
      <c r="B713" t="s">
        <v>909</v>
      </c>
      <c r="C713" s="1">
        <v>45736</v>
      </c>
      <c r="D713" s="1">
        <v>45781</v>
      </c>
      <c r="E713">
        <v>5711.55</v>
      </c>
      <c r="F713" t="s">
        <v>913</v>
      </c>
      <c r="G713" t="s">
        <v>918</v>
      </c>
      <c r="H713" s="1">
        <v>45781</v>
      </c>
      <c r="I713" t="s">
        <v>919</v>
      </c>
      <c r="J713" t="b">
        <f t="shared" si="77"/>
        <v>0</v>
      </c>
      <c r="K713" s="3">
        <f t="shared" ca="1" si="78"/>
        <v>45</v>
      </c>
      <c r="L713" s="3">
        <f t="shared" ca="1" si="79"/>
        <v>0</v>
      </c>
      <c r="M713" t="str">
        <f t="shared" ca="1" si="80"/>
        <v>On Time</v>
      </c>
      <c r="N713">
        <f t="shared" si="82"/>
        <v>0</v>
      </c>
      <c r="O713" t="str" cm="1">
        <f t="array" aca="1" ref="O713" ca="1">_xlfn.IFS(
L713&lt;=0,"Not Due",
L713&lt;=30,"0–30 Days",
L713&lt;=60,"31–60 Days",
L713&lt;=90,"61–90 Days",
L713&lt;=180,"91–180 Days",
L713&lt;=365,"181–365 Days",
L713&gt;365,"365+ Days (High Risk)"
)</f>
        <v>Not Due</v>
      </c>
      <c r="P713">
        <f t="shared" si="83"/>
        <v>5711.55</v>
      </c>
      <c r="Q713" s="3">
        <f t="shared" ca="1" si="81"/>
        <v>0</v>
      </c>
    </row>
    <row r="714" spans="1:17" x14ac:dyDescent="0.25">
      <c r="A714" t="s">
        <v>718</v>
      </c>
      <c r="B714" t="s">
        <v>907</v>
      </c>
      <c r="C714" s="1">
        <v>45767</v>
      </c>
      <c r="D714" s="1">
        <v>45812</v>
      </c>
      <c r="E714">
        <v>1016.83</v>
      </c>
      <c r="F714" t="s">
        <v>915</v>
      </c>
      <c r="G714" t="s">
        <v>917</v>
      </c>
      <c r="I714" t="s">
        <v>919</v>
      </c>
      <c r="J714" t="b">
        <f t="shared" si="77"/>
        <v>1</v>
      </c>
      <c r="K714" s="3">
        <f t="shared" ca="1" si="78"/>
        <v>284</v>
      </c>
      <c r="L714" s="3">
        <f t="shared" ca="1" si="79"/>
        <v>239</v>
      </c>
      <c r="M714" t="str">
        <f t="shared" ca="1" si="80"/>
        <v>Overdue</v>
      </c>
      <c r="N714">
        <f t="shared" si="82"/>
        <v>1016.83</v>
      </c>
      <c r="O714" t="str" cm="1">
        <f t="array" aca="1" ref="O714" ca="1">_xlfn.IFS(
L714&lt;=0,"Not Due",
L714&lt;=30,"0–30 Days",
L714&lt;=60,"31–60 Days",
L714&lt;=90,"61–90 Days",
L714&lt;=180,"91–180 Days",
L714&lt;=365,"181–365 Days",
L714&gt;365,"365+ Days (High Risk)"
)</f>
        <v>181–365 Days</v>
      </c>
      <c r="P714">
        <f t="shared" si="83"/>
        <v>0</v>
      </c>
      <c r="Q714" s="3">
        <f t="shared" ca="1" si="81"/>
        <v>1016.83</v>
      </c>
    </row>
    <row r="715" spans="1:17" x14ac:dyDescent="0.25">
      <c r="A715" t="s">
        <v>719</v>
      </c>
      <c r="B715" t="s">
        <v>909</v>
      </c>
      <c r="C715" s="1">
        <v>45067</v>
      </c>
      <c r="D715" s="1">
        <v>45112</v>
      </c>
      <c r="E715">
        <v>4967.9399999999996</v>
      </c>
      <c r="F715" t="s">
        <v>912</v>
      </c>
      <c r="G715" t="s">
        <v>916</v>
      </c>
      <c r="I715" t="s">
        <v>919</v>
      </c>
      <c r="J715" t="b">
        <f t="shared" si="77"/>
        <v>1</v>
      </c>
      <c r="K715" s="3">
        <f t="shared" ca="1" si="78"/>
        <v>984</v>
      </c>
      <c r="L715" s="3">
        <f t="shared" ca="1" si="79"/>
        <v>939</v>
      </c>
      <c r="M715" t="str">
        <f t="shared" ca="1" si="80"/>
        <v>Overdue</v>
      </c>
      <c r="N715">
        <f t="shared" si="82"/>
        <v>4967.9399999999996</v>
      </c>
      <c r="O715" t="str" cm="1">
        <f t="array" aca="1" ref="O715" ca="1">_xlfn.IFS(
L715&lt;=0,"Not Due",
L715&lt;=30,"0–30 Days",
L715&lt;=60,"31–60 Days",
L715&lt;=90,"61–90 Days",
L715&lt;=180,"91–180 Days",
L715&lt;=365,"181–365 Days",
L715&gt;365,"365+ Days (High Risk)"
)</f>
        <v>365+ Days (High Risk)</v>
      </c>
      <c r="P715">
        <f t="shared" si="83"/>
        <v>0</v>
      </c>
      <c r="Q715" s="3">
        <f t="shared" ca="1" si="81"/>
        <v>4967.9399999999996</v>
      </c>
    </row>
    <row r="716" spans="1:17" x14ac:dyDescent="0.25">
      <c r="A716" t="s">
        <v>720</v>
      </c>
      <c r="B716" t="s">
        <v>908</v>
      </c>
      <c r="C716" s="1">
        <v>44965</v>
      </c>
      <c r="D716" s="1">
        <v>45010</v>
      </c>
      <c r="E716">
        <v>1921.94</v>
      </c>
      <c r="F716" t="s">
        <v>914</v>
      </c>
      <c r="G716" t="s">
        <v>918</v>
      </c>
      <c r="H716" s="1">
        <v>45010</v>
      </c>
      <c r="I716" t="s">
        <v>919</v>
      </c>
      <c r="J716" t="b">
        <f t="shared" si="77"/>
        <v>0</v>
      </c>
      <c r="K716" s="3">
        <f t="shared" ca="1" si="78"/>
        <v>45</v>
      </c>
      <c r="L716" s="3">
        <f t="shared" ca="1" si="79"/>
        <v>0</v>
      </c>
      <c r="M716" t="str">
        <f t="shared" ca="1" si="80"/>
        <v>On Time</v>
      </c>
      <c r="N716">
        <f t="shared" si="82"/>
        <v>0</v>
      </c>
      <c r="O716" t="str" cm="1">
        <f t="array" aca="1" ref="O716" ca="1">_xlfn.IFS(
L716&lt;=0,"Not Due",
L716&lt;=30,"0–30 Days",
L716&lt;=60,"31–60 Days",
L716&lt;=90,"61–90 Days",
L716&lt;=180,"91–180 Days",
L716&lt;=365,"181–365 Days",
L716&gt;365,"365+ Days (High Risk)"
)</f>
        <v>Not Due</v>
      </c>
      <c r="P716">
        <f t="shared" si="83"/>
        <v>1921.94</v>
      </c>
      <c r="Q716" s="3">
        <f t="shared" ca="1" si="81"/>
        <v>0</v>
      </c>
    </row>
    <row r="717" spans="1:17" x14ac:dyDescent="0.25">
      <c r="A717" t="s">
        <v>721</v>
      </c>
      <c r="B717" t="s">
        <v>906</v>
      </c>
      <c r="C717" s="1">
        <v>45749</v>
      </c>
      <c r="D717" s="1">
        <v>45794</v>
      </c>
      <c r="E717">
        <v>2725.11</v>
      </c>
      <c r="F717" t="s">
        <v>914</v>
      </c>
      <c r="G717" t="s">
        <v>917</v>
      </c>
      <c r="I717" t="s">
        <v>919</v>
      </c>
      <c r="J717" t="b">
        <f t="shared" si="77"/>
        <v>1</v>
      </c>
      <c r="K717" s="3">
        <f t="shared" ca="1" si="78"/>
        <v>302</v>
      </c>
      <c r="L717" s="3">
        <f t="shared" ca="1" si="79"/>
        <v>257</v>
      </c>
      <c r="M717" t="str">
        <f t="shared" ca="1" si="80"/>
        <v>Overdue</v>
      </c>
      <c r="N717">
        <f t="shared" si="82"/>
        <v>2725.11</v>
      </c>
      <c r="O717" t="str" cm="1">
        <f t="array" aca="1" ref="O717" ca="1">_xlfn.IFS(
L717&lt;=0,"Not Due",
L717&lt;=30,"0–30 Days",
L717&lt;=60,"31–60 Days",
L717&lt;=90,"61–90 Days",
L717&lt;=180,"91–180 Days",
L717&lt;=365,"181–365 Days",
L717&gt;365,"365+ Days (High Risk)"
)</f>
        <v>181–365 Days</v>
      </c>
      <c r="P717">
        <f t="shared" si="83"/>
        <v>0</v>
      </c>
      <c r="Q717" s="3">
        <f t="shared" ca="1" si="81"/>
        <v>2725.11</v>
      </c>
    </row>
    <row r="718" spans="1:17" x14ac:dyDescent="0.25">
      <c r="A718" t="s">
        <v>722</v>
      </c>
      <c r="B718" t="s">
        <v>908</v>
      </c>
      <c r="C718" s="1">
        <v>45066</v>
      </c>
      <c r="D718" s="1">
        <v>45111</v>
      </c>
      <c r="E718">
        <v>7384.94</v>
      </c>
      <c r="F718" t="s">
        <v>915</v>
      </c>
      <c r="G718" t="s">
        <v>918</v>
      </c>
      <c r="H718" s="1">
        <v>45111</v>
      </c>
      <c r="I718" t="s">
        <v>919</v>
      </c>
      <c r="J718" t="b">
        <f t="shared" si="77"/>
        <v>0</v>
      </c>
      <c r="K718" s="3">
        <f t="shared" ca="1" si="78"/>
        <v>45</v>
      </c>
      <c r="L718" s="3">
        <f t="shared" ca="1" si="79"/>
        <v>0</v>
      </c>
      <c r="M718" t="str">
        <f t="shared" ca="1" si="80"/>
        <v>On Time</v>
      </c>
      <c r="N718">
        <f t="shared" si="82"/>
        <v>0</v>
      </c>
      <c r="O718" t="str" cm="1">
        <f t="array" aca="1" ref="O718" ca="1">_xlfn.IFS(
L718&lt;=0,"Not Due",
L718&lt;=30,"0–30 Days",
L718&lt;=60,"31–60 Days",
L718&lt;=90,"61–90 Days",
L718&lt;=180,"91–180 Days",
L718&lt;=365,"181–365 Days",
L718&gt;365,"365+ Days (High Risk)"
)</f>
        <v>Not Due</v>
      </c>
      <c r="P718">
        <f t="shared" si="83"/>
        <v>7384.94</v>
      </c>
      <c r="Q718" s="3">
        <f t="shared" ca="1" si="81"/>
        <v>0</v>
      </c>
    </row>
    <row r="719" spans="1:17" x14ac:dyDescent="0.25">
      <c r="A719" t="s">
        <v>723</v>
      </c>
      <c r="B719" t="s">
        <v>910</v>
      </c>
      <c r="C719" s="1">
        <v>45541</v>
      </c>
      <c r="D719" s="1">
        <v>45586</v>
      </c>
      <c r="E719">
        <v>379.48</v>
      </c>
      <c r="F719" t="s">
        <v>912</v>
      </c>
      <c r="G719" t="s">
        <v>916</v>
      </c>
      <c r="I719" t="s">
        <v>919</v>
      </c>
      <c r="J719" t="b">
        <f t="shared" si="77"/>
        <v>1</v>
      </c>
      <c r="K719" s="3">
        <f t="shared" ca="1" si="78"/>
        <v>510</v>
      </c>
      <c r="L719" s="3">
        <f t="shared" ca="1" si="79"/>
        <v>465</v>
      </c>
      <c r="M719" t="str">
        <f t="shared" ca="1" si="80"/>
        <v>Overdue</v>
      </c>
      <c r="N719">
        <f t="shared" si="82"/>
        <v>379.48</v>
      </c>
      <c r="O719" t="str" cm="1">
        <f t="array" aca="1" ref="O719" ca="1">_xlfn.IFS(
L719&lt;=0,"Not Due",
L719&lt;=30,"0–30 Days",
L719&lt;=60,"31–60 Days",
L719&lt;=90,"61–90 Days",
L719&lt;=180,"91–180 Days",
L719&lt;=365,"181–365 Days",
L719&gt;365,"365+ Days (High Risk)"
)</f>
        <v>365+ Days (High Risk)</v>
      </c>
      <c r="P719">
        <f t="shared" si="83"/>
        <v>0</v>
      </c>
      <c r="Q719" s="3">
        <f t="shared" ca="1" si="81"/>
        <v>379.48</v>
      </c>
    </row>
    <row r="720" spans="1:17" x14ac:dyDescent="0.25">
      <c r="A720" t="s">
        <v>724</v>
      </c>
      <c r="B720" t="s">
        <v>910</v>
      </c>
      <c r="C720" s="1">
        <v>45393</v>
      </c>
      <c r="D720" s="1">
        <v>45438</v>
      </c>
      <c r="E720">
        <v>7372.24</v>
      </c>
      <c r="F720" t="s">
        <v>911</v>
      </c>
      <c r="G720" t="s">
        <v>917</v>
      </c>
      <c r="I720" t="s">
        <v>919</v>
      </c>
      <c r="J720" t="b">
        <f t="shared" si="77"/>
        <v>1</v>
      </c>
      <c r="K720" s="3">
        <f t="shared" ca="1" si="78"/>
        <v>658</v>
      </c>
      <c r="L720" s="3">
        <f t="shared" ca="1" si="79"/>
        <v>613</v>
      </c>
      <c r="M720" t="str">
        <f t="shared" ca="1" si="80"/>
        <v>Overdue</v>
      </c>
      <c r="N720">
        <f t="shared" si="82"/>
        <v>7372.24</v>
      </c>
      <c r="O720" t="str" cm="1">
        <f t="array" aca="1" ref="O720" ca="1">_xlfn.IFS(
L720&lt;=0,"Not Due",
L720&lt;=30,"0–30 Days",
L720&lt;=60,"31–60 Days",
L720&lt;=90,"61–90 Days",
L720&lt;=180,"91–180 Days",
L720&lt;=365,"181–365 Days",
L720&gt;365,"365+ Days (High Risk)"
)</f>
        <v>365+ Days (High Risk)</v>
      </c>
      <c r="P720">
        <f t="shared" si="83"/>
        <v>0</v>
      </c>
      <c r="Q720" s="3">
        <f t="shared" ca="1" si="81"/>
        <v>7372.24</v>
      </c>
    </row>
    <row r="721" spans="1:17" x14ac:dyDescent="0.25">
      <c r="A721" t="s">
        <v>725</v>
      </c>
      <c r="B721" t="s">
        <v>910</v>
      </c>
      <c r="C721" s="1">
        <v>45024</v>
      </c>
      <c r="D721" s="1">
        <v>45069</v>
      </c>
      <c r="E721">
        <v>4620.79</v>
      </c>
      <c r="F721" t="s">
        <v>913</v>
      </c>
      <c r="G721" t="s">
        <v>918</v>
      </c>
      <c r="H721" s="1">
        <v>45069</v>
      </c>
      <c r="I721" t="s">
        <v>919</v>
      </c>
      <c r="J721" t="b">
        <f t="shared" si="77"/>
        <v>0</v>
      </c>
      <c r="K721" s="3">
        <f t="shared" ca="1" si="78"/>
        <v>45</v>
      </c>
      <c r="L721" s="3">
        <f t="shared" ca="1" si="79"/>
        <v>0</v>
      </c>
      <c r="M721" t="str">
        <f t="shared" ca="1" si="80"/>
        <v>On Time</v>
      </c>
      <c r="N721">
        <f t="shared" si="82"/>
        <v>0</v>
      </c>
      <c r="O721" t="str" cm="1">
        <f t="array" aca="1" ref="O721" ca="1">_xlfn.IFS(
L721&lt;=0,"Not Due",
L721&lt;=30,"0–30 Days",
L721&lt;=60,"31–60 Days",
L721&lt;=90,"61–90 Days",
L721&lt;=180,"91–180 Days",
L721&lt;=365,"181–365 Days",
L721&gt;365,"365+ Days (High Risk)"
)</f>
        <v>Not Due</v>
      </c>
      <c r="P721">
        <f t="shared" si="83"/>
        <v>4620.79</v>
      </c>
      <c r="Q721" s="3">
        <f t="shared" ca="1" si="81"/>
        <v>0</v>
      </c>
    </row>
    <row r="722" spans="1:17" x14ac:dyDescent="0.25">
      <c r="A722" t="s">
        <v>726</v>
      </c>
      <c r="B722" t="s">
        <v>909</v>
      </c>
      <c r="C722" s="1">
        <v>45062</v>
      </c>
      <c r="D722" s="1">
        <v>45107</v>
      </c>
      <c r="E722">
        <v>528.38</v>
      </c>
      <c r="F722" t="s">
        <v>911</v>
      </c>
      <c r="G722" t="s">
        <v>917</v>
      </c>
      <c r="I722" t="s">
        <v>919</v>
      </c>
      <c r="J722" t="b">
        <f t="shared" si="77"/>
        <v>1</v>
      </c>
      <c r="K722" s="3">
        <f t="shared" ca="1" si="78"/>
        <v>989</v>
      </c>
      <c r="L722" s="3">
        <f t="shared" ca="1" si="79"/>
        <v>944</v>
      </c>
      <c r="M722" t="str">
        <f t="shared" ca="1" si="80"/>
        <v>Overdue</v>
      </c>
      <c r="N722">
        <f t="shared" si="82"/>
        <v>528.38</v>
      </c>
      <c r="O722" t="str" cm="1">
        <f t="array" aca="1" ref="O722" ca="1">_xlfn.IFS(
L722&lt;=0,"Not Due",
L722&lt;=30,"0–30 Days",
L722&lt;=60,"31–60 Days",
L722&lt;=90,"61–90 Days",
L722&lt;=180,"91–180 Days",
L722&lt;=365,"181–365 Days",
L722&gt;365,"365+ Days (High Risk)"
)</f>
        <v>365+ Days (High Risk)</v>
      </c>
      <c r="P722">
        <f t="shared" si="83"/>
        <v>0</v>
      </c>
      <c r="Q722" s="3">
        <f t="shared" ca="1" si="81"/>
        <v>528.38</v>
      </c>
    </row>
    <row r="723" spans="1:17" x14ac:dyDescent="0.25">
      <c r="A723" t="s">
        <v>727</v>
      </c>
      <c r="B723" t="s">
        <v>908</v>
      </c>
      <c r="C723" s="1">
        <v>45515</v>
      </c>
      <c r="D723" s="1">
        <v>45560</v>
      </c>
      <c r="E723">
        <v>6586.87</v>
      </c>
      <c r="F723" t="s">
        <v>913</v>
      </c>
      <c r="G723" t="s">
        <v>916</v>
      </c>
      <c r="I723" t="s">
        <v>919</v>
      </c>
      <c r="J723" t="b">
        <f t="shared" si="77"/>
        <v>1</v>
      </c>
      <c r="K723" s="3">
        <f t="shared" ca="1" si="78"/>
        <v>536</v>
      </c>
      <c r="L723" s="3">
        <f t="shared" ca="1" si="79"/>
        <v>491</v>
      </c>
      <c r="M723" t="str">
        <f t="shared" ca="1" si="80"/>
        <v>Overdue</v>
      </c>
      <c r="N723">
        <f t="shared" si="82"/>
        <v>6586.87</v>
      </c>
      <c r="O723" t="str" cm="1">
        <f t="array" aca="1" ref="O723" ca="1">_xlfn.IFS(
L723&lt;=0,"Not Due",
L723&lt;=30,"0–30 Days",
L723&lt;=60,"31–60 Days",
L723&lt;=90,"61–90 Days",
L723&lt;=180,"91–180 Days",
L723&lt;=365,"181–365 Days",
L723&gt;365,"365+ Days (High Risk)"
)</f>
        <v>365+ Days (High Risk)</v>
      </c>
      <c r="P723">
        <f t="shared" si="83"/>
        <v>0</v>
      </c>
      <c r="Q723" s="3">
        <f t="shared" ca="1" si="81"/>
        <v>6586.87</v>
      </c>
    </row>
    <row r="724" spans="1:17" x14ac:dyDescent="0.25">
      <c r="A724" t="s">
        <v>728</v>
      </c>
      <c r="B724" t="s">
        <v>907</v>
      </c>
      <c r="C724" s="1">
        <v>45749</v>
      </c>
      <c r="D724" s="1">
        <v>45794</v>
      </c>
      <c r="E724">
        <v>1050.93</v>
      </c>
      <c r="F724" t="s">
        <v>912</v>
      </c>
      <c r="G724" t="s">
        <v>916</v>
      </c>
      <c r="I724" t="s">
        <v>919</v>
      </c>
      <c r="J724" t="b">
        <f t="shared" si="77"/>
        <v>1</v>
      </c>
      <c r="K724" s="3">
        <f t="shared" ca="1" si="78"/>
        <v>302</v>
      </c>
      <c r="L724" s="3">
        <f t="shared" ca="1" si="79"/>
        <v>257</v>
      </c>
      <c r="M724" t="str">
        <f t="shared" ca="1" si="80"/>
        <v>Overdue</v>
      </c>
      <c r="N724">
        <f t="shared" si="82"/>
        <v>1050.93</v>
      </c>
      <c r="O724" t="str" cm="1">
        <f t="array" aca="1" ref="O724" ca="1">_xlfn.IFS(
L724&lt;=0,"Not Due",
L724&lt;=30,"0–30 Days",
L724&lt;=60,"31–60 Days",
L724&lt;=90,"61–90 Days",
L724&lt;=180,"91–180 Days",
L724&lt;=365,"181–365 Days",
L724&gt;365,"365+ Days (High Risk)"
)</f>
        <v>181–365 Days</v>
      </c>
      <c r="P724">
        <f t="shared" si="83"/>
        <v>0</v>
      </c>
      <c r="Q724" s="3">
        <f t="shared" ca="1" si="81"/>
        <v>1050.93</v>
      </c>
    </row>
    <row r="725" spans="1:17" x14ac:dyDescent="0.25">
      <c r="A725" t="s">
        <v>729</v>
      </c>
      <c r="B725" t="s">
        <v>906</v>
      </c>
      <c r="C725" s="1">
        <v>45548</v>
      </c>
      <c r="D725" s="1">
        <v>45593</v>
      </c>
      <c r="E725">
        <v>3679.18</v>
      </c>
      <c r="F725" t="s">
        <v>914</v>
      </c>
      <c r="G725" t="s">
        <v>918</v>
      </c>
      <c r="H725" s="1">
        <v>45593</v>
      </c>
      <c r="I725" t="s">
        <v>919</v>
      </c>
      <c r="J725" t="b">
        <f t="shared" si="77"/>
        <v>0</v>
      </c>
      <c r="K725" s="3">
        <f t="shared" ca="1" si="78"/>
        <v>45</v>
      </c>
      <c r="L725" s="3">
        <f t="shared" ca="1" si="79"/>
        <v>0</v>
      </c>
      <c r="M725" t="str">
        <f t="shared" ca="1" si="80"/>
        <v>On Time</v>
      </c>
      <c r="N725">
        <f t="shared" si="82"/>
        <v>0</v>
      </c>
      <c r="O725" t="str" cm="1">
        <f t="array" aca="1" ref="O725" ca="1">_xlfn.IFS(
L725&lt;=0,"Not Due",
L725&lt;=30,"0–30 Days",
L725&lt;=60,"31–60 Days",
L725&lt;=90,"61–90 Days",
L725&lt;=180,"91–180 Days",
L725&lt;=365,"181–365 Days",
L725&gt;365,"365+ Days (High Risk)"
)</f>
        <v>Not Due</v>
      </c>
      <c r="P725">
        <f t="shared" si="83"/>
        <v>3679.18</v>
      </c>
      <c r="Q725" s="3">
        <f t="shared" ca="1" si="81"/>
        <v>0</v>
      </c>
    </row>
    <row r="726" spans="1:17" x14ac:dyDescent="0.25">
      <c r="A726" t="s">
        <v>730</v>
      </c>
      <c r="B726" t="s">
        <v>907</v>
      </c>
      <c r="C726" s="1">
        <v>45410</v>
      </c>
      <c r="D726" s="1">
        <v>45455</v>
      </c>
      <c r="E726">
        <v>7286.86</v>
      </c>
      <c r="F726" t="s">
        <v>911</v>
      </c>
      <c r="G726" t="s">
        <v>918</v>
      </c>
      <c r="H726" s="1">
        <v>45455</v>
      </c>
      <c r="I726" t="s">
        <v>919</v>
      </c>
      <c r="J726" t="b">
        <f t="shared" si="77"/>
        <v>0</v>
      </c>
      <c r="K726" s="3">
        <f t="shared" ca="1" si="78"/>
        <v>45</v>
      </c>
      <c r="L726" s="3">
        <f t="shared" ca="1" si="79"/>
        <v>0</v>
      </c>
      <c r="M726" t="str">
        <f t="shared" ca="1" si="80"/>
        <v>On Time</v>
      </c>
      <c r="N726">
        <f t="shared" si="82"/>
        <v>0</v>
      </c>
      <c r="O726" t="str" cm="1">
        <f t="array" aca="1" ref="O726" ca="1">_xlfn.IFS(
L726&lt;=0,"Not Due",
L726&lt;=30,"0–30 Days",
L726&lt;=60,"31–60 Days",
L726&lt;=90,"61–90 Days",
L726&lt;=180,"91–180 Days",
L726&lt;=365,"181–365 Days",
L726&gt;365,"365+ Days (High Risk)"
)</f>
        <v>Not Due</v>
      </c>
      <c r="P726">
        <f t="shared" si="83"/>
        <v>7286.86</v>
      </c>
      <c r="Q726" s="3">
        <f t="shared" ca="1" si="81"/>
        <v>0</v>
      </c>
    </row>
    <row r="727" spans="1:17" x14ac:dyDescent="0.25">
      <c r="A727" t="s">
        <v>731</v>
      </c>
      <c r="B727" t="s">
        <v>906</v>
      </c>
      <c r="C727" s="1">
        <v>45336</v>
      </c>
      <c r="D727" s="1">
        <v>45381</v>
      </c>
      <c r="E727">
        <v>2238.7600000000002</v>
      </c>
      <c r="F727" t="s">
        <v>915</v>
      </c>
      <c r="G727" t="s">
        <v>916</v>
      </c>
      <c r="I727" t="s">
        <v>919</v>
      </c>
      <c r="J727" t="b">
        <f t="shared" si="77"/>
        <v>1</v>
      </c>
      <c r="K727" s="3">
        <f t="shared" ca="1" si="78"/>
        <v>715</v>
      </c>
      <c r="L727" s="3">
        <f t="shared" ca="1" si="79"/>
        <v>670</v>
      </c>
      <c r="M727" t="str">
        <f t="shared" ca="1" si="80"/>
        <v>Overdue</v>
      </c>
      <c r="N727">
        <f t="shared" si="82"/>
        <v>2238.7600000000002</v>
      </c>
      <c r="O727" t="str" cm="1">
        <f t="array" aca="1" ref="O727" ca="1">_xlfn.IFS(
L727&lt;=0,"Not Due",
L727&lt;=30,"0–30 Days",
L727&lt;=60,"31–60 Days",
L727&lt;=90,"61–90 Days",
L727&lt;=180,"91–180 Days",
L727&lt;=365,"181–365 Days",
L727&gt;365,"365+ Days (High Risk)"
)</f>
        <v>365+ Days (High Risk)</v>
      </c>
      <c r="P727">
        <f t="shared" si="83"/>
        <v>0</v>
      </c>
      <c r="Q727" s="3">
        <f t="shared" ca="1" si="81"/>
        <v>2238.7600000000002</v>
      </c>
    </row>
    <row r="728" spans="1:17" x14ac:dyDescent="0.25">
      <c r="A728" t="s">
        <v>732</v>
      </c>
      <c r="B728" t="s">
        <v>907</v>
      </c>
      <c r="C728" s="1">
        <v>45371</v>
      </c>
      <c r="D728" s="1">
        <v>45416</v>
      </c>
      <c r="E728">
        <v>6394.62</v>
      </c>
      <c r="F728" t="s">
        <v>915</v>
      </c>
      <c r="G728" t="s">
        <v>916</v>
      </c>
      <c r="I728" t="s">
        <v>919</v>
      </c>
      <c r="J728" t="b">
        <f t="shared" si="77"/>
        <v>1</v>
      </c>
      <c r="K728" s="3">
        <f t="shared" ca="1" si="78"/>
        <v>680</v>
      </c>
      <c r="L728" s="3">
        <f t="shared" ca="1" si="79"/>
        <v>635</v>
      </c>
      <c r="M728" t="str">
        <f t="shared" ca="1" si="80"/>
        <v>Overdue</v>
      </c>
      <c r="N728">
        <f t="shared" si="82"/>
        <v>6394.62</v>
      </c>
      <c r="O728" t="str" cm="1">
        <f t="array" aca="1" ref="O728" ca="1">_xlfn.IFS(
L728&lt;=0,"Not Due",
L728&lt;=30,"0–30 Days",
L728&lt;=60,"31–60 Days",
L728&lt;=90,"61–90 Days",
L728&lt;=180,"91–180 Days",
L728&lt;=365,"181–365 Days",
L728&gt;365,"365+ Days (High Risk)"
)</f>
        <v>365+ Days (High Risk)</v>
      </c>
      <c r="P728">
        <f t="shared" si="83"/>
        <v>0</v>
      </c>
      <c r="Q728" s="3">
        <f t="shared" ca="1" si="81"/>
        <v>6394.62</v>
      </c>
    </row>
    <row r="729" spans="1:17" x14ac:dyDescent="0.25">
      <c r="A729" t="s">
        <v>733</v>
      </c>
      <c r="B729" t="s">
        <v>909</v>
      </c>
      <c r="C729" s="1">
        <v>45080</v>
      </c>
      <c r="D729" s="1">
        <v>45125</v>
      </c>
      <c r="E729">
        <v>7492.09</v>
      </c>
      <c r="F729" t="s">
        <v>914</v>
      </c>
      <c r="G729" t="s">
        <v>917</v>
      </c>
      <c r="I729" t="s">
        <v>919</v>
      </c>
      <c r="J729" t="b">
        <f t="shared" si="77"/>
        <v>1</v>
      </c>
      <c r="K729" s="3">
        <f t="shared" ca="1" si="78"/>
        <v>971</v>
      </c>
      <c r="L729" s="3">
        <f t="shared" ca="1" si="79"/>
        <v>926</v>
      </c>
      <c r="M729" t="str">
        <f t="shared" ca="1" si="80"/>
        <v>Overdue</v>
      </c>
      <c r="N729">
        <f t="shared" si="82"/>
        <v>7492.09</v>
      </c>
      <c r="O729" t="str" cm="1">
        <f t="array" aca="1" ref="O729" ca="1">_xlfn.IFS(
L729&lt;=0,"Not Due",
L729&lt;=30,"0–30 Days",
L729&lt;=60,"31–60 Days",
L729&lt;=90,"61–90 Days",
L729&lt;=180,"91–180 Days",
L729&lt;=365,"181–365 Days",
L729&gt;365,"365+ Days (High Risk)"
)</f>
        <v>365+ Days (High Risk)</v>
      </c>
      <c r="P729">
        <f t="shared" si="83"/>
        <v>0</v>
      </c>
      <c r="Q729" s="3">
        <f t="shared" ca="1" si="81"/>
        <v>7492.09</v>
      </c>
    </row>
    <row r="730" spans="1:17" x14ac:dyDescent="0.25">
      <c r="A730" t="s">
        <v>734</v>
      </c>
      <c r="B730" t="s">
        <v>906</v>
      </c>
      <c r="C730" s="1">
        <v>45733</v>
      </c>
      <c r="D730" s="1">
        <v>45778</v>
      </c>
      <c r="E730">
        <v>4830.54</v>
      </c>
      <c r="F730" t="s">
        <v>912</v>
      </c>
      <c r="G730" t="s">
        <v>916</v>
      </c>
      <c r="I730" t="s">
        <v>919</v>
      </c>
      <c r="J730" t="b">
        <f t="shared" si="77"/>
        <v>1</v>
      </c>
      <c r="K730" s="3">
        <f t="shared" ca="1" si="78"/>
        <v>318</v>
      </c>
      <c r="L730" s="3">
        <f t="shared" ca="1" si="79"/>
        <v>273</v>
      </c>
      <c r="M730" t="str">
        <f t="shared" ca="1" si="80"/>
        <v>Overdue</v>
      </c>
      <c r="N730">
        <f t="shared" si="82"/>
        <v>4830.54</v>
      </c>
      <c r="O730" t="str" cm="1">
        <f t="array" aca="1" ref="O730" ca="1">_xlfn.IFS(
L730&lt;=0,"Not Due",
L730&lt;=30,"0–30 Days",
L730&lt;=60,"31–60 Days",
L730&lt;=90,"61–90 Days",
L730&lt;=180,"91–180 Days",
L730&lt;=365,"181–365 Days",
L730&gt;365,"365+ Days (High Risk)"
)</f>
        <v>181–365 Days</v>
      </c>
      <c r="P730">
        <f t="shared" si="83"/>
        <v>0</v>
      </c>
      <c r="Q730" s="3">
        <f t="shared" ca="1" si="81"/>
        <v>4830.54</v>
      </c>
    </row>
    <row r="731" spans="1:17" x14ac:dyDescent="0.25">
      <c r="A731" t="s">
        <v>735</v>
      </c>
      <c r="B731" t="s">
        <v>907</v>
      </c>
      <c r="C731" s="1">
        <v>45819</v>
      </c>
      <c r="D731" s="1">
        <v>45864</v>
      </c>
      <c r="E731">
        <v>4670.08</v>
      </c>
      <c r="F731" t="s">
        <v>913</v>
      </c>
      <c r="G731" t="s">
        <v>916</v>
      </c>
      <c r="I731" t="s">
        <v>919</v>
      </c>
      <c r="J731" t="b">
        <f t="shared" si="77"/>
        <v>1</v>
      </c>
      <c r="K731" s="3">
        <f t="shared" ca="1" si="78"/>
        <v>232</v>
      </c>
      <c r="L731" s="3">
        <f t="shared" ca="1" si="79"/>
        <v>187</v>
      </c>
      <c r="M731" t="str">
        <f t="shared" ca="1" si="80"/>
        <v>Overdue</v>
      </c>
      <c r="N731">
        <f t="shared" si="82"/>
        <v>4670.08</v>
      </c>
      <c r="O731" t="str" cm="1">
        <f t="array" aca="1" ref="O731" ca="1">_xlfn.IFS(
L731&lt;=0,"Not Due",
L731&lt;=30,"0–30 Days",
L731&lt;=60,"31–60 Days",
L731&lt;=90,"61–90 Days",
L731&lt;=180,"91–180 Days",
L731&lt;=365,"181–365 Days",
L731&gt;365,"365+ Days (High Risk)"
)</f>
        <v>181–365 Days</v>
      </c>
      <c r="P731">
        <f t="shared" si="83"/>
        <v>0</v>
      </c>
      <c r="Q731" s="3">
        <f t="shared" ca="1" si="81"/>
        <v>4670.08</v>
      </c>
    </row>
    <row r="732" spans="1:17" x14ac:dyDescent="0.25">
      <c r="A732" t="s">
        <v>736</v>
      </c>
      <c r="B732" t="s">
        <v>906</v>
      </c>
      <c r="C732" s="1">
        <v>45666</v>
      </c>
      <c r="D732" s="1">
        <v>45711</v>
      </c>
      <c r="E732">
        <v>6954.16</v>
      </c>
      <c r="F732" t="s">
        <v>913</v>
      </c>
      <c r="G732" t="s">
        <v>918</v>
      </c>
      <c r="H732" s="1">
        <v>45711</v>
      </c>
      <c r="I732" t="s">
        <v>919</v>
      </c>
      <c r="J732" t="b">
        <f t="shared" si="77"/>
        <v>0</v>
      </c>
      <c r="K732" s="3">
        <f t="shared" ca="1" si="78"/>
        <v>45</v>
      </c>
      <c r="L732" s="3">
        <f t="shared" ca="1" si="79"/>
        <v>0</v>
      </c>
      <c r="M732" t="str">
        <f t="shared" ca="1" si="80"/>
        <v>On Time</v>
      </c>
      <c r="N732">
        <f t="shared" si="82"/>
        <v>0</v>
      </c>
      <c r="O732" t="str" cm="1">
        <f t="array" aca="1" ref="O732" ca="1">_xlfn.IFS(
L732&lt;=0,"Not Due",
L732&lt;=30,"0–30 Days",
L732&lt;=60,"31–60 Days",
L732&lt;=90,"61–90 Days",
L732&lt;=180,"91–180 Days",
L732&lt;=365,"181–365 Days",
L732&gt;365,"365+ Days (High Risk)"
)</f>
        <v>Not Due</v>
      </c>
      <c r="P732">
        <f t="shared" si="83"/>
        <v>6954.16</v>
      </c>
      <c r="Q732" s="3">
        <f t="shared" ca="1" si="81"/>
        <v>0</v>
      </c>
    </row>
    <row r="733" spans="1:17" x14ac:dyDescent="0.25">
      <c r="A733" t="s">
        <v>737</v>
      </c>
      <c r="B733" t="s">
        <v>907</v>
      </c>
      <c r="C733" s="1">
        <v>45000</v>
      </c>
      <c r="D733" s="1">
        <v>45045</v>
      </c>
      <c r="E733">
        <v>4219.6099999999997</v>
      </c>
      <c r="F733" t="s">
        <v>912</v>
      </c>
      <c r="G733" t="s">
        <v>916</v>
      </c>
      <c r="I733" t="s">
        <v>919</v>
      </c>
      <c r="J733" t="b">
        <f t="shared" si="77"/>
        <v>1</v>
      </c>
      <c r="K733" s="3">
        <f t="shared" ca="1" si="78"/>
        <v>1051</v>
      </c>
      <c r="L733" s="3">
        <f t="shared" ca="1" si="79"/>
        <v>1006</v>
      </c>
      <c r="M733" t="str">
        <f t="shared" ca="1" si="80"/>
        <v>Overdue</v>
      </c>
      <c r="N733">
        <f t="shared" si="82"/>
        <v>4219.6099999999997</v>
      </c>
      <c r="O733" t="str" cm="1">
        <f t="array" aca="1" ref="O733" ca="1">_xlfn.IFS(
L733&lt;=0,"Not Due",
L733&lt;=30,"0–30 Days",
L733&lt;=60,"31–60 Days",
L733&lt;=90,"61–90 Days",
L733&lt;=180,"91–180 Days",
L733&lt;=365,"181–365 Days",
L733&gt;365,"365+ Days (High Risk)"
)</f>
        <v>365+ Days (High Risk)</v>
      </c>
      <c r="P733">
        <f t="shared" si="83"/>
        <v>0</v>
      </c>
      <c r="Q733" s="3">
        <f t="shared" ca="1" si="81"/>
        <v>4219.6099999999997</v>
      </c>
    </row>
    <row r="734" spans="1:17" x14ac:dyDescent="0.25">
      <c r="A734" t="s">
        <v>738</v>
      </c>
      <c r="B734" t="s">
        <v>910</v>
      </c>
      <c r="C734" s="1">
        <v>45334</v>
      </c>
      <c r="D734" s="1">
        <v>45379</v>
      </c>
      <c r="E734">
        <v>7672.81</v>
      </c>
      <c r="F734" t="s">
        <v>913</v>
      </c>
      <c r="G734" t="s">
        <v>918</v>
      </c>
      <c r="H734" s="1">
        <v>45379</v>
      </c>
      <c r="I734" t="s">
        <v>919</v>
      </c>
      <c r="J734" t="b">
        <f t="shared" si="77"/>
        <v>0</v>
      </c>
      <c r="K734" s="3">
        <f t="shared" ca="1" si="78"/>
        <v>45</v>
      </c>
      <c r="L734" s="3">
        <f t="shared" ca="1" si="79"/>
        <v>0</v>
      </c>
      <c r="M734" t="str">
        <f t="shared" ca="1" si="80"/>
        <v>On Time</v>
      </c>
      <c r="N734">
        <f t="shared" si="82"/>
        <v>0</v>
      </c>
      <c r="O734" t="str" cm="1">
        <f t="array" aca="1" ref="O734" ca="1">_xlfn.IFS(
L734&lt;=0,"Not Due",
L734&lt;=30,"0–30 Days",
L734&lt;=60,"31–60 Days",
L734&lt;=90,"61–90 Days",
L734&lt;=180,"91–180 Days",
L734&lt;=365,"181–365 Days",
L734&gt;365,"365+ Days (High Risk)"
)</f>
        <v>Not Due</v>
      </c>
      <c r="P734">
        <f t="shared" si="83"/>
        <v>7672.81</v>
      </c>
      <c r="Q734" s="3">
        <f t="shared" ca="1" si="81"/>
        <v>0</v>
      </c>
    </row>
    <row r="735" spans="1:17" x14ac:dyDescent="0.25">
      <c r="A735" t="s">
        <v>739</v>
      </c>
      <c r="B735" t="s">
        <v>909</v>
      </c>
      <c r="C735" s="1">
        <v>45747</v>
      </c>
      <c r="D735" s="1">
        <v>45792</v>
      </c>
      <c r="E735">
        <v>3127.27</v>
      </c>
      <c r="F735" t="s">
        <v>915</v>
      </c>
      <c r="G735" t="s">
        <v>916</v>
      </c>
      <c r="I735" t="s">
        <v>919</v>
      </c>
      <c r="J735" t="b">
        <f t="shared" si="77"/>
        <v>1</v>
      </c>
      <c r="K735" s="3">
        <f t="shared" ca="1" si="78"/>
        <v>304</v>
      </c>
      <c r="L735" s="3">
        <f t="shared" ca="1" si="79"/>
        <v>259</v>
      </c>
      <c r="M735" t="str">
        <f t="shared" ca="1" si="80"/>
        <v>Overdue</v>
      </c>
      <c r="N735">
        <f t="shared" si="82"/>
        <v>3127.27</v>
      </c>
      <c r="O735" t="str" cm="1">
        <f t="array" aca="1" ref="O735" ca="1">_xlfn.IFS(
L735&lt;=0,"Not Due",
L735&lt;=30,"0–30 Days",
L735&lt;=60,"31–60 Days",
L735&lt;=90,"61–90 Days",
L735&lt;=180,"91–180 Days",
L735&lt;=365,"181–365 Days",
L735&gt;365,"365+ Days (High Risk)"
)</f>
        <v>181–365 Days</v>
      </c>
      <c r="P735">
        <f t="shared" si="83"/>
        <v>0</v>
      </c>
      <c r="Q735" s="3">
        <f t="shared" ca="1" si="81"/>
        <v>3127.27</v>
      </c>
    </row>
    <row r="736" spans="1:17" x14ac:dyDescent="0.25">
      <c r="A736" t="s">
        <v>740</v>
      </c>
      <c r="B736" t="s">
        <v>909</v>
      </c>
      <c r="C736" s="1">
        <v>45566</v>
      </c>
      <c r="D736" s="1">
        <v>45611</v>
      </c>
      <c r="E736">
        <v>2341.1999999999998</v>
      </c>
      <c r="F736" t="s">
        <v>911</v>
      </c>
      <c r="G736" t="s">
        <v>918</v>
      </c>
      <c r="H736" s="1">
        <v>45611</v>
      </c>
      <c r="I736" t="s">
        <v>919</v>
      </c>
      <c r="J736" t="b">
        <f t="shared" si="77"/>
        <v>0</v>
      </c>
      <c r="K736" s="3">
        <f t="shared" ca="1" si="78"/>
        <v>45</v>
      </c>
      <c r="L736" s="3">
        <f t="shared" ca="1" si="79"/>
        <v>0</v>
      </c>
      <c r="M736" t="str">
        <f t="shared" ca="1" si="80"/>
        <v>On Time</v>
      </c>
      <c r="N736">
        <f t="shared" si="82"/>
        <v>0</v>
      </c>
      <c r="O736" t="str" cm="1">
        <f t="array" aca="1" ref="O736" ca="1">_xlfn.IFS(
L736&lt;=0,"Not Due",
L736&lt;=30,"0–30 Days",
L736&lt;=60,"31–60 Days",
L736&lt;=90,"61–90 Days",
L736&lt;=180,"91–180 Days",
L736&lt;=365,"181–365 Days",
L736&gt;365,"365+ Days (High Risk)"
)</f>
        <v>Not Due</v>
      </c>
      <c r="P736">
        <f t="shared" si="83"/>
        <v>2341.1999999999998</v>
      </c>
      <c r="Q736" s="3">
        <f t="shared" ca="1" si="81"/>
        <v>0</v>
      </c>
    </row>
    <row r="737" spans="1:17" x14ac:dyDescent="0.25">
      <c r="A737" t="s">
        <v>741</v>
      </c>
      <c r="B737" t="s">
        <v>907</v>
      </c>
      <c r="C737" s="1">
        <v>45595</v>
      </c>
      <c r="D737" s="1">
        <v>45640</v>
      </c>
      <c r="E737">
        <v>5614.34</v>
      </c>
      <c r="F737" t="s">
        <v>911</v>
      </c>
      <c r="G737" t="s">
        <v>916</v>
      </c>
      <c r="I737" t="s">
        <v>919</v>
      </c>
      <c r="J737" t="b">
        <f t="shared" si="77"/>
        <v>1</v>
      </c>
      <c r="K737" s="3">
        <f t="shared" ca="1" si="78"/>
        <v>456</v>
      </c>
      <c r="L737" s="3">
        <f t="shared" ca="1" si="79"/>
        <v>411</v>
      </c>
      <c r="M737" t="str">
        <f t="shared" ca="1" si="80"/>
        <v>Overdue</v>
      </c>
      <c r="N737">
        <f t="shared" si="82"/>
        <v>5614.34</v>
      </c>
      <c r="O737" t="str" cm="1">
        <f t="array" aca="1" ref="O737" ca="1">_xlfn.IFS(
L737&lt;=0,"Not Due",
L737&lt;=30,"0–30 Days",
L737&lt;=60,"31–60 Days",
L737&lt;=90,"61–90 Days",
L737&lt;=180,"91–180 Days",
L737&lt;=365,"181–365 Days",
L737&gt;365,"365+ Days (High Risk)"
)</f>
        <v>365+ Days (High Risk)</v>
      </c>
      <c r="P737">
        <f t="shared" si="83"/>
        <v>0</v>
      </c>
      <c r="Q737" s="3">
        <f t="shared" ca="1" si="81"/>
        <v>5614.34</v>
      </c>
    </row>
    <row r="738" spans="1:17" x14ac:dyDescent="0.25">
      <c r="A738" t="s">
        <v>742</v>
      </c>
      <c r="B738" t="s">
        <v>910</v>
      </c>
      <c r="C738" s="1">
        <v>44956</v>
      </c>
      <c r="D738" s="1">
        <v>45001</v>
      </c>
      <c r="E738">
        <v>7144.44</v>
      </c>
      <c r="F738" t="s">
        <v>912</v>
      </c>
      <c r="G738" t="s">
        <v>916</v>
      </c>
      <c r="I738" t="s">
        <v>919</v>
      </c>
      <c r="J738" t="b">
        <f t="shared" si="77"/>
        <v>1</v>
      </c>
      <c r="K738" s="3">
        <f t="shared" ca="1" si="78"/>
        <v>1095</v>
      </c>
      <c r="L738" s="3">
        <f t="shared" ca="1" si="79"/>
        <v>1050</v>
      </c>
      <c r="M738" t="str">
        <f t="shared" ca="1" si="80"/>
        <v>Overdue</v>
      </c>
      <c r="N738">
        <f t="shared" si="82"/>
        <v>7144.44</v>
      </c>
      <c r="O738" t="str" cm="1">
        <f t="array" aca="1" ref="O738" ca="1">_xlfn.IFS(
L738&lt;=0,"Not Due",
L738&lt;=30,"0–30 Days",
L738&lt;=60,"31–60 Days",
L738&lt;=90,"61–90 Days",
L738&lt;=180,"91–180 Days",
L738&lt;=365,"181–365 Days",
L738&gt;365,"365+ Days (High Risk)"
)</f>
        <v>365+ Days (High Risk)</v>
      </c>
      <c r="P738">
        <f t="shared" si="83"/>
        <v>0</v>
      </c>
      <c r="Q738" s="3">
        <f t="shared" ca="1" si="81"/>
        <v>7144.44</v>
      </c>
    </row>
    <row r="739" spans="1:17" x14ac:dyDescent="0.25">
      <c r="A739" t="s">
        <v>743</v>
      </c>
      <c r="B739" t="s">
        <v>910</v>
      </c>
      <c r="C739" s="1">
        <v>45136</v>
      </c>
      <c r="D739" s="1">
        <v>45181</v>
      </c>
      <c r="E739">
        <v>5084.83</v>
      </c>
      <c r="F739" t="s">
        <v>914</v>
      </c>
      <c r="G739" t="s">
        <v>918</v>
      </c>
      <c r="H739" s="1">
        <v>45181</v>
      </c>
      <c r="I739" t="s">
        <v>919</v>
      </c>
      <c r="J739" t="b">
        <f t="shared" si="77"/>
        <v>0</v>
      </c>
      <c r="K739" s="3">
        <f t="shared" ca="1" si="78"/>
        <v>45</v>
      </c>
      <c r="L739" s="3">
        <f t="shared" ca="1" si="79"/>
        <v>0</v>
      </c>
      <c r="M739" t="str">
        <f t="shared" ca="1" si="80"/>
        <v>On Time</v>
      </c>
      <c r="N739">
        <f t="shared" si="82"/>
        <v>0</v>
      </c>
      <c r="O739" t="str" cm="1">
        <f t="array" aca="1" ref="O739" ca="1">_xlfn.IFS(
L739&lt;=0,"Not Due",
L739&lt;=30,"0–30 Days",
L739&lt;=60,"31–60 Days",
L739&lt;=90,"61–90 Days",
L739&lt;=180,"91–180 Days",
L739&lt;=365,"181–365 Days",
L739&gt;365,"365+ Days (High Risk)"
)</f>
        <v>Not Due</v>
      </c>
      <c r="P739">
        <f t="shared" si="83"/>
        <v>5084.83</v>
      </c>
      <c r="Q739" s="3">
        <f t="shared" ca="1" si="81"/>
        <v>0</v>
      </c>
    </row>
    <row r="740" spans="1:17" x14ac:dyDescent="0.25">
      <c r="A740" t="s">
        <v>744</v>
      </c>
      <c r="B740" t="s">
        <v>908</v>
      </c>
      <c r="C740" s="1">
        <v>45790</v>
      </c>
      <c r="D740" s="1">
        <v>45835</v>
      </c>
      <c r="E740">
        <v>4558.47</v>
      </c>
      <c r="F740" t="s">
        <v>911</v>
      </c>
      <c r="G740" t="s">
        <v>917</v>
      </c>
      <c r="I740" t="s">
        <v>919</v>
      </c>
      <c r="J740" t="b">
        <f t="shared" si="77"/>
        <v>1</v>
      </c>
      <c r="K740" s="3">
        <f t="shared" ca="1" si="78"/>
        <v>261</v>
      </c>
      <c r="L740" s="3">
        <f t="shared" ca="1" si="79"/>
        <v>216</v>
      </c>
      <c r="M740" t="str">
        <f t="shared" ca="1" si="80"/>
        <v>Overdue</v>
      </c>
      <c r="N740">
        <f t="shared" si="82"/>
        <v>4558.47</v>
      </c>
      <c r="O740" t="str" cm="1">
        <f t="array" aca="1" ref="O740" ca="1">_xlfn.IFS(
L740&lt;=0,"Not Due",
L740&lt;=30,"0–30 Days",
L740&lt;=60,"31–60 Days",
L740&lt;=90,"61–90 Days",
L740&lt;=180,"91–180 Days",
L740&lt;=365,"181–365 Days",
L740&gt;365,"365+ Days (High Risk)"
)</f>
        <v>181–365 Days</v>
      </c>
      <c r="P740">
        <f t="shared" si="83"/>
        <v>0</v>
      </c>
      <c r="Q740" s="3">
        <f t="shared" ca="1" si="81"/>
        <v>4558.47</v>
      </c>
    </row>
    <row r="741" spans="1:17" x14ac:dyDescent="0.25">
      <c r="A741" t="s">
        <v>745</v>
      </c>
      <c r="B741" t="s">
        <v>909</v>
      </c>
      <c r="C741" s="1">
        <v>45180</v>
      </c>
      <c r="D741" s="1">
        <v>45225</v>
      </c>
      <c r="E741">
        <v>7477.62</v>
      </c>
      <c r="F741" t="s">
        <v>914</v>
      </c>
      <c r="G741" t="s">
        <v>918</v>
      </c>
      <c r="H741" s="1">
        <v>45225</v>
      </c>
      <c r="I741" t="s">
        <v>919</v>
      </c>
      <c r="J741" t="b">
        <f t="shared" si="77"/>
        <v>0</v>
      </c>
      <c r="K741" s="3">
        <f t="shared" ca="1" si="78"/>
        <v>45</v>
      </c>
      <c r="L741" s="3">
        <f t="shared" ca="1" si="79"/>
        <v>0</v>
      </c>
      <c r="M741" t="str">
        <f t="shared" ca="1" si="80"/>
        <v>On Time</v>
      </c>
      <c r="N741">
        <f t="shared" si="82"/>
        <v>0</v>
      </c>
      <c r="O741" t="str" cm="1">
        <f t="array" aca="1" ref="O741" ca="1">_xlfn.IFS(
L741&lt;=0,"Not Due",
L741&lt;=30,"0–30 Days",
L741&lt;=60,"31–60 Days",
L741&lt;=90,"61–90 Days",
L741&lt;=180,"91–180 Days",
L741&lt;=365,"181–365 Days",
L741&gt;365,"365+ Days (High Risk)"
)</f>
        <v>Not Due</v>
      </c>
      <c r="P741">
        <f t="shared" si="83"/>
        <v>7477.62</v>
      </c>
      <c r="Q741" s="3">
        <f t="shared" ca="1" si="81"/>
        <v>0</v>
      </c>
    </row>
    <row r="742" spans="1:17" x14ac:dyDescent="0.25">
      <c r="A742" t="s">
        <v>746</v>
      </c>
      <c r="B742" t="s">
        <v>907</v>
      </c>
      <c r="C742" s="1">
        <v>45372</v>
      </c>
      <c r="D742" s="1">
        <v>45417</v>
      </c>
      <c r="E742">
        <v>2809.92</v>
      </c>
      <c r="F742" t="s">
        <v>913</v>
      </c>
      <c r="G742" t="s">
        <v>918</v>
      </c>
      <c r="H742" s="1">
        <v>45417</v>
      </c>
      <c r="I742" t="s">
        <v>919</v>
      </c>
      <c r="J742" t="b">
        <f t="shared" si="77"/>
        <v>0</v>
      </c>
      <c r="K742" s="3">
        <f t="shared" ca="1" si="78"/>
        <v>45</v>
      </c>
      <c r="L742" s="3">
        <f t="shared" ca="1" si="79"/>
        <v>0</v>
      </c>
      <c r="M742" t="str">
        <f t="shared" ca="1" si="80"/>
        <v>On Time</v>
      </c>
      <c r="N742">
        <f t="shared" si="82"/>
        <v>0</v>
      </c>
      <c r="O742" t="str" cm="1">
        <f t="array" aca="1" ref="O742" ca="1">_xlfn.IFS(
L742&lt;=0,"Not Due",
L742&lt;=30,"0–30 Days",
L742&lt;=60,"31–60 Days",
L742&lt;=90,"61–90 Days",
L742&lt;=180,"91–180 Days",
L742&lt;=365,"181–365 Days",
L742&gt;365,"365+ Days (High Risk)"
)</f>
        <v>Not Due</v>
      </c>
      <c r="P742">
        <f t="shared" si="83"/>
        <v>2809.92</v>
      </c>
      <c r="Q742" s="3">
        <f t="shared" ca="1" si="81"/>
        <v>0</v>
      </c>
    </row>
    <row r="743" spans="1:17" x14ac:dyDescent="0.25">
      <c r="A743" t="s">
        <v>747</v>
      </c>
      <c r="B743" t="s">
        <v>907</v>
      </c>
      <c r="C743" s="1">
        <v>44948</v>
      </c>
      <c r="D743" s="1">
        <v>44993</v>
      </c>
      <c r="E743">
        <v>1528</v>
      </c>
      <c r="F743" t="s">
        <v>911</v>
      </c>
      <c r="G743" t="s">
        <v>916</v>
      </c>
      <c r="I743" t="s">
        <v>919</v>
      </c>
      <c r="J743" t="b">
        <f t="shared" si="77"/>
        <v>1</v>
      </c>
      <c r="K743" s="3">
        <f t="shared" ca="1" si="78"/>
        <v>1103</v>
      </c>
      <c r="L743" s="3">
        <f t="shared" ca="1" si="79"/>
        <v>1058</v>
      </c>
      <c r="M743" t="str">
        <f t="shared" ca="1" si="80"/>
        <v>Overdue</v>
      </c>
      <c r="N743">
        <f t="shared" si="82"/>
        <v>1528</v>
      </c>
      <c r="O743" t="str" cm="1">
        <f t="array" aca="1" ref="O743" ca="1">_xlfn.IFS(
L743&lt;=0,"Not Due",
L743&lt;=30,"0–30 Days",
L743&lt;=60,"31–60 Days",
L743&lt;=90,"61–90 Days",
L743&lt;=180,"91–180 Days",
L743&lt;=365,"181–365 Days",
L743&gt;365,"365+ Days (High Risk)"
)</f>
        <v>365+ Days (High Risk)</v>
      </c>
      <c r="P743">
        <f t="shared" si="83"/>
        <v>0</v>
      </c>
      <c r="Q743" s="3">
        <f t="shared" ca="1" si="81"/>
        <v>1528</v>
      </c>
    </row>
    <row r="744" spans="1:17" x14ac:dyDescent="0.25">
      <c r="A744" t="s">
        <v>748</v>
      </c>
      <c r="B744" t="s">
        <v>906</v>
      </c>
      <c r="C744" s="1">
        <v>45034</v>
      </c>
      <c r="D744" s="1">
        <v>45079</v>
      </c>
      <c r="E744">
        <v>6314.46</v>
      </c>
      <c r="F744" t="s">
        <v>915</v>
      </c>
      <c r="G744" t="s">
        <v>918</v>
      </c>
      <c r="H744" s="1">
        <v>45079</v>
      </c>
      <c r="I744" t="s">
        <v>919</v>
      </c>
      <c r="J744" t="b">
        <f t="shared" si="77"/>
        <v>0</v>
      </c>
      <c r="K744" s="3">
        <f t="shared" ca="1" si="78"/>
        <v>45</v>
      </c>
      <c r="L744" s="3">
        <f t="shared" ca="1" si="79"/>
        <v>0</v>
      </c>
      <c r="M744" t="str">
        <f t="shared" ca="1" si="80"/>
        <v>On Time</v>
      </c>
      <c r="N744">
        <f t="shared" si="82"/>
        <v>0</v>
      </c>
      <c r="O744" t="str" cm="1">
        <f t="array" aca="1" ref="O744" ca="1">_xlfn.IFS(
L744&lt;=0,"Not Due",
L744&lt;=30,"0–30 Days",
L744&lt;=60,"31–60 Days",
L744&lt;=90,"61–90 Days",
L744&lt;=180,"91–180 Days",
L744&lt;=365,"181–365 Days",
L744&gt;365,"365+ Days (High Risk)"
)</f>
        <v>Not Due</v>
      </c>
      <c r="P744">
        <f t="shared" si="83"/>
        <v>6314.46</v>
      </c>
      <c r="Q744" s="3">
        <f t="shared" ca="1" si="81"/>
        <v>0</v>
      </c>
    </row>
    <row r="745" spans="1:17" x14ac:dyDescent="0.25">
      <c r="A745" t="s">
        <v>749</v>
      </c>
      <c r="B745" t="s">
        <v>907</v>
      </c>
      <c r="C745" s="1">
        <v>45015</v>
      </c>
      <c r="D745" s="1">
        <v>45060</v>
      </c>
      <c r="E745">
        <v>4757.3900000000003</v>
      </c>
      <c r="F745" t="s">
        <v>913</v>
      </c>
      <c r="G745" t="s">
        <v>917</v>
      </c>
      <c r="I745" t="s">
        <v>919</v>
      </c>
      <c r="J745" t="b">
        <f t="shared" si="77"/>
        <v>1</v>
      </c>
      <c r="K745" s="3">
        <f t="shared" ca="1" si="78"/>
        <v>1036</v>
      </c>
      <c r="L745" s="3">
        <f t="shared" ca="1" si="79"/>
        <v>991</v>
      </c>
      <c r="M745" t="str">
        <f t="shared" ca="1" si="80"/>
        <v>Overdue</v>
      </c>
      <c r="N745">
        <f t="shared" si="82"/>
        <v>4757.3900000000003</v>
      </c>
      <c r="O745" t="str" cm="1">
        <f t="array" aca="1" ref="O745" ca="1">_xlfn.IFS(
L745&lt;=0,"Not Due",
L745&lt;=30,"0–30 Days",
L745&lt;=60,"31–60 Days",
L745&lt;=90,"61–90 Days",
L745&lt;=180,"91–180 Days",
L745&lt;=365,"181–365 Days",
L745&gt;365,"365+ Days (High Risk)"
)</f>
        <v>365+ Days (High Risk)</v>
      </c>
      <c r="P745">
        <f t="shared" si="83"/>
        <v>0</v>
      </c>
      <c r="Q745" s="3">
        <f t="shared" ca="1" si="81"/>
        <v>4757.3900000000003</v>
      </c>
    </row>
    <row r="746" spans="1:17" x14ac:dyDescent="0.25">
      <c r="A746" t="s">
        <v>750</v>
      </c>
      <c r="B746" t="s">
        <v>907</v>
      </c>
      <c r="C746" s="1">
        <v>45080</v>
      </c>
      <c r="D746" s="1">
        <v>45125</v>
      </c>
      <c r="E746">
        <v>4061.27</v>
      </c>
      <c r="F746" t="s">
        <v>914</v>
      </c>
      <c r="G746" t="s">
        <v>918</v>
      </c>
      <c r="H746" s="1">
        <v>45125</v>
      </c>
      <c r="I746" t="s">
        <v>919</v>
      </c>
      <c r="J746" t="b">
        <f t="shared" si="77"/>
        <v>0</v>
      </c>
      <c r="K746" s="3">
        <f t="shared" ca="1" si="78"/>
        <v>45</v>
      </c>
      <c r="L746" s="3">
        <f t="shared" ca="1" si="79"/>
        <v>0</v>
      </c>
      <c r="M746" t="str">
        <f t="shared" ca="1" si="80"/>
        <v>On Time</v>
      </c>
      <c r="N746">
        <f t="shared" si="82"/>
        <v>0</v>
      </c>
      <c r="O746" t="str" cm="1">
        <f t="array" aca="1" ref="O746" ca="1">_xlfn.IFS(
L746&lt;=0,"Not Due",
L746&lt;=30,"0–30 Days",
L746&lt;=60,"31–60 Days",
L746&lt;=90,"61–90 Days",
L746&lt;=180,"91–180 Days",
L746&lt;=365,"181–365 Days",
L746&gt;365,"365+ Days (High Risk)"
)</f>
        <v>Not Due</v>
      </c>
      <c r="P746">
        <f t="shared" si="83"/>
        <v>4061.27</v>
      </c>
      <c r="Q746" s="3">
        <f t="shared" ca="1" si="81"/>
        <v>0</v>
      </c>
    </row>
    <row r="747" spans="1:17" x14ac:dyDescent="0.25">
      <c r="A747" t="s">
        <v>751</v>
      </c>
      <c r="B747" t="s">
        <v>910</v>
      </c>
      <c r="C747" s="1">
        <v>45733</v>
      </c>
      <c r="D747" s="1">
        <v>45778</v>
      </c>
      <c r="E747">
        <v>1445.59</v>
      </c>
      <c r="F747" t="s">
        <v>911</v>
      </c>
      <c r="G747" t="s">
        <v>916</v>
      </c>
      <c r="I747" t="s">
        <v>919</v>
      </c>
      <c r="J747" t="b">
        <f t="shared" si="77"/>
        <v>1</v>
      </c>
      <c r="K747" s="3">
        <f t="shared" ca="1" si="78"/>
        <v>318</v>
      </c>
      <c r="L747" s="3">
        <f t="shared" ca="1" si="79"/>
        <v>273</v>
      </c>
      <c r="M747" t="str">
        <f t="shared" ca="1" si="80"/>
        <v>Overdue</v>
      </c>
      <c r="N747">
        <f t="shared" si="82"/>
        <v>1445.59</v>
      </c>
      <c r="O747" t="str" cm="1">
        <f t="array" aca="1" ref="O747" ca="1">_xlfn.IFS(
L747&lt;=0,"Not Due",
L747&lt;=30,"0–30 Days",
L747&lt;=60,"31–60 Days",
L747&lt;=90,"61–90 Days",
L747&lt;=180,"91–180 Days",
L747&lt;=365,"181–365 Days",
L747&gt;365,"365+ Days (High Risk)"
)</f>
        <v>181–365 Days</v>
      </c>
      <c r="P747">
        <f t="shared" si="83"/>
        <v>0</v>
      </c>
      <c r="Q747" s="3">
        <f t="shared" ca="1" si="81"/>
        <v>1445.59</v>
      </c>
    </row>
    <row r="748" spans="1:17" x14ac:dyDescent="0.25">
      <c r="A748" t="s">
        <v>752</v>
      </c>
      <c r="B748" t="s">
        <v>909</v>
      </c>
      <c r="C748" s="1">
        <v>45487</v>
      </c>
      <c r="D748" s="1">
        <v>45532</v>
      </c>
      <c r="E748">
        <v>4549.8999999999996</v>
      </c>
      <c r="F748" t="s">
        <v>914</v>
      </c>
      <c r="G748" t="s">
        <v>918</v>
      </c>
      <c r="H748" s="1">
        <v>45532</v>
      </c>
      <c r="I748" t="s">
        <v>919</v>
      </c>
      <c r="J748" t="b">
        <f t="shared" si="77"/>
        <v>0</v>
      </c>
      <c r="K748" s="3">
        <f t="shared" ca="1" si="78"/>
        <v>45</v>
      </c>
      <c r="L748" s="3">
        <f t="shared" ca="1" si="79"/>
        <v>0</v>
      </c>
      <c r="M748" t="str">
        <f t="shared" ca="1" si="80"/>
        <v>On Time</v>
      </c>
      <c r="N748">
        <f t="shared" si="82"/>
        <v>0</v>
      </c>
      <c r="O748" t="str" cm="1">
        <f t="array" aca="1" ref="O748" ca="1">_xlfn.IFS(
L748&lt;=0,"Not Due",
L748&lt;=30,"0–30 Days",
L748&lt;=60,"31–60 Days",
L748&lt;=90,"61–90 Days",
L748&lt;=180,"91–180 Days",
L748&lt;=365,"181–365 Days",
L748&gt;365,"365+ Days (High Risk)"
)</f>
        <v>Not Due</v>
      </c>
      <c r="P748">
        <f t="shared" si="83"/>
        <v>4549.8999999999996</v>
      </c>
      <c r="Q748" s="3">
        <f t="shared" ca="1" si="81"/>
        <v>0</v>
      </c>
    </row>
    <row r="749" spans="1:17" x14ac:dyDescent="0.25">
      <c r="A749" t="s">
        <v>753</v>
      </c>
      <c r="B749" t="s">
        <v>909</v>
      </c>
      <c r="C749" s="1">
        <v>45372</v>
      </c>
      <c r="D749" s="1">
        <v>45417</v>
      </c>
      <c r="E749">
        <v>5530.33</v>
      </c>
      <c r="F749" t="s">
        <v>911</v>
      </c>
      <c r="G749" t="s">
        <v>917</v>
      </c>
      <c r="I749" t="s">
        <v>919</v>
      </c>
      <c r="J749" t="b">
        <f t="shared" si="77"/>
        <v>1</v>
      </c>
      <c r="K749" s="3">
        <f t="shared" ca="1" si="78"/>
        <v>679</v>
      </c>
      <c r="L749" s="3">
        <f t="shared" ca="1" si="79"/>
        <v>634</v>
      </c>
      <c r="M749" t="str">
        <f t="shared" ca="1" si="80"/>
        <v>Overdue</v>
      </c>
      <c r="N749">
        <f t="shared" si="82"/>
        <v>5530.33</v>
      </c>
      <c r="O749" t="str" cm="1">
        <f t="array" aca="1" ref="O749" ca="1">_xlfn.IFS(
L749&lt;=0,"Not Due",
L749&lt;=30,"0–30 Days",
L749&lt;=60,"31–60 Days",
L749&lt;=90,"61–90 Days",
L749&lt;=180,"91–180 Days",
L749&lt;=365,"181–365 Days",
L749&gt;365,"365+ Days (High Risk)"
)</f>
        <v>365+ Days (High Risk)</v>
      </c>
      <c r="P749">
        <f t="shared" si="83"/>
        <v>0</v>
      </c>
      <c r="Q749" s="3">
        <f t="shared" ca="1" si="81"/>
        <v>5530.33</v>
      </c>
    </row>
    <row r="750" spans="1:17" x14ac:dyDescent="0.25">
      <c r="A750" t="s">
        <v>754</v>
      </c>
      <c r="B750" t="s">
        <v>906</v>
      </c>
      <c r="C750" s="1">
        <v>45776</v>
      </c>
      <c r="D750" s="1">
        <v>45821</v>
      </c>
      <c r="E750">
        <v>2790.34</v>
      </c>
      <c r="F750" t="s">
        <v>912</v>
      </c>
      <c r="G750" t="s">
        <v>916</v>
      </c>
      <c r="I750" t="s">
        <v>919</v>
      </c>
      <c r="J750" t="b">
        <f t="shared" si="77"/>
        <v>1</v>
      </c>
      <c r="K750" s="3">
        <f t="shared" ca="1" si="78"/>
        <v>275</v>
      </c>
      <c r="L750" s="3">
        <f t="shared" ca="1" si="79"/>
        <v>230</v>
      </c>
      <c r="M750" t="str">
        <f t="shared" ca="1" si="80"/>
        <v>Overdue</v>
      </c>
      <c r="N750">
        <f t="shared" si="82"/>
        <v>2790.34</v>
      </c>
      <c r="O750" t="str" cm="1">
        <f t="array" aca="1" ref="O750" ca="1">_xlfn.IFS(
L750&lt;=0,"Not Due",
L750&lt;=30,"0–30 Days",
L750&lt;=60,"31–60 Days",
L750&lt;=90,"61–90 Days",
L750&lt;=180,"91–180 Days",
L750&lt;=365,"181–365 Days",
L750&gt;365,"365+ Days (High Risk)"
)</f>
        <v>181–365 Days</v>
      </c>
      <c r="P750">
        <f t="shared" si="83"/>
        <v>0</v>
      </c>
      <c r="Q750" s="3">
        <f t="shared" ca="1" si="81"/>
        <v>2790.34</v>
      </c>
    </row>
    <row r="751" spans="1:17" x14ac:dyDescent="0.25">
      <c r="A751" t="s">
        <v>755</v>
      </c>
      <c r="B751" t="s">
        <v>906</v>
      </c>
      <c r="C751" s="1">
        <v>45304</v>
      </c>
      <c r="D751" s="1">
        <v>45349</v>
      </c>
      <c r="E751">
        <v>7511.89</v>
      </c>
      <c r="F751" t="s">
        <v>912</v>
      </c>
      <c r="G751" t="s">
        <v>916</v>
      </c>
      <c r="I751" t="s">
        <v>919</v>
      </c>
      <c r="J751" t="b">
        <f t="shared" si="77"/>
        <v>1</v>
      </c>
      <c r="K751" s="3">
        <f t="shared" ca="1" si="78"/>
        <v>747</v>
      </c>
      <c r="L751" s="3">
        <f t="shared" ca="1" si="79"/>
        <v>702</v>
      </c>
      <c r="M751" t="str">
        <f t="shared" ca="1" si="80"/>
        <v>Overdue</v>
      </c>
      <c r="N751">
        <f t="shared" si="82"/>
        <v>7511.89</v>
      </c>
      <c r="O751" t="str" cm="1">
        <f t="array" aca="1" ref="O751" ca="1">_xlfn.IFS(
L751&lt;=0,"Not Due",
L751&lt;=30,"0–30 Days",
L751&lt;=60,"31–60 Days",
L751&lt;=90,"61–90 Days",
L751&lt;=180,"91–180 Days",
L751&lt;=365,"181–365 Days",
L751&gt;365,"365+ Days (High Risk)"
)</f>
        <v>365+ Days (High Risk)</v>
      </c>
      <c r="P751">
        <f t="shared" si="83"/>
        <v>0</v>
      </c>
      <c r="Q751" s="3">
        <f t="shared" ca="1" si="81"/>
        <v>7511.89</v>
      </c>
    </row>
    <row r="752" spans="1:17" x14ac:dyDescent="0.25">
      <c r="A752" t="s">
        <v>756</v>
      </c>
      <c r="B752" t="s">
        <v>910</v>
      </c>
      <c r="C752" s="1">
        <v>45614</v>
      </c>
      <c r="D752" s="1">
        <v>45659</v>
      </c>
      <c r="E752">
        <v>7449.48</v>
      </c>
      <c r="F752" t="s">
        <v>911</v>
      </c>
      <c r="G752" t="s">
        <v>916</v>
      </c>
      <c r="I752" t="s">
        <v>919</v>
      </c>
      <c r="J752" t="b">
        <f t="shared" si="77"/>
        <v>1</v>
      </c>
      <c r="K752" s="3">
        <f t="shared" ca="1" si="78"/>
        <v>437</v>
      </c>
      <c r="L752" s="3">
        <f t="shared" ca="1" si="79"/>
        <v>392</v>
      </c>
      <c r="M752" t="str">
        <f t="shared" ca="1" si="80"/>
        <v>Overdue</v>
      </c>
      <c r="N752">
        <f t="shared" si="82"/>
        <v>7449.48</v>
      </c>
      <c r="O752" t="str" cm="1">
        <f t="array" aca="1" ref="O752" ca="1">_xlfn.IFS(
L752&lt;=0,"Not Due",
L752&lt;=30,"0–30 Days",
L752&lt;=60,"31–60 Days",
L752&lt;=90,"61–90 Days",
L752&lt;=180,"91–180 Days",
L752&lt;=365,"181–365 Days",
L752&gt;365,"365+ Days (High Risk)"
)</f>
        <v>365+ Days (High Risk)</v>
      </c>
      <c r="P752">
        <f t="shared" si="83"/>
        <v>0</v>
      </c>
      <c r="Q752" s="3">
        <f t="shared" ca="1" si="81"/>
        <v>7449.48</v>
      </c>
    </row>
    <row r="753" spans="1:17" x14ac:dyDescent="0.25">
      <c r="A753" t="s">
        <v>757</v>
      </c>
      <c r="B753" t="s">
        <v>906</v>
      </c>
      <c r="C753" s="1">
        <v>45084</v>
      </c>
      <c r="D753" s="1">
        <v>45129</v>
      </c>
      <c r="E753">
        <v>5701.18</v>
      </c>
      <c r="F753" t="s">
        <v>912</v>
      </c>
      <c r="G753" t="s">
        <v>916</v>
      </c>
      <c r="I753" t="s">
        <v>919</v>
      </c>
      <c r="J753" t="b">
        <f t="shared" si="77"/>
        <v>1</v>
      </c>
      <c r="K753" s="3">
        <f t="shared" ca="1" si="78"/>
        <v>967</v>
      </c>
      <c r="L753" s="3">
        <f t="shared" ca="1" si="79"/>
        <v>922</v>
      </c>
      <c r="M753" t="str">
        <f t="shared" ca="1" si="80"/>
        <v>Overdue</v>
      </c>
      <c r="N753">
        <f t="shared" si="82"/>
        <v>5701.18</v>
      </c>
      <c r="O753" t="str" cm="1">
        <f t="array" aca="1" ref="O753" ca="1">_xlfn.IFS(
L753&lt;=0,"Not Due",
L753&lt;=30,"0–30 Days",
L753&lt;=60,"31–60 Days",
L753&lt;=90,"61–90 Days",
L753&lt;=180,"91–180 Days",
L753&lt;=365,"181–365 Days",
L753&gt;365,"365+ Days (High Risk)"
)</f>
        <v>365+ Days (High Risk)</v>
      </c>
      <c r="P753">
        <f t="shared" si="83"/>
        <v>0</v>
      </c>
      <c r="Q753" s="3">
        <f t="shared" ca="1" si="81"/>
        <v>5701.18</v>
      </c>
    </row>
    <row r="754" spans="1:17" x14ac:dyDescent="0.25">
      <c r="A754" t="s">
        <v>758</v>
      </c>
      <c r="B754" t="s">
        <v>907</v>
      </c>
      <c r="C754" s="1">
        <v>45422</v>
      </c>
      <c r="D754" s="1">
        <v>45467</v>
      </c>
      <c r="E754">
        <v>2707.82</v>
      </c>
      <c r="F754" t="s">
        <v>912</v>
      </c>
      <c r="G754" t="s">
        <v>917</v>
      </c>
      <c r="I754" t="s">
        <v>919</v>
      </c>
      <c r="J754" t="b">
        <f t="shared" si="77"/>
        <v>1</v>
      </c>
      <c r="K754" s="3">
        <f t="shared" ca="1" si="78"/>
        <v>629</v>
      </c>
      <c r="L754" s="3">
        <f t="shared" ca="1" si="79"/>
        <v>584</v>
      </c>
      <c r="M754" t="str">
        <f t="shared" ca="1" si="80"/>
        <v>Overdue</v>
      </c>
      <c r="N754">
        <f t="shared" si="82"/>
        <v>2707.82</v>
      </c>
      <c r="O754" t="str" cm="1">
        <f t="array" aca="1" ref="O754" ca="1">_xlfn.IFS(
L754&lt;=0,"Not Due",
L754&lt;=30,"0–30 Days",
L754&lt;=60,"31–60 Days",
L754&lt;=90,"61–90 Days",
L754&lt;=180,"91–180 Days",
L754&lt;=365,"181–365 Days",
L754&gt;365,"365+ Days (High Risk)"
)</f>
        <v>365+ Days (High Risk)</v>
      </c>
      <c r="P754">
        <f t="shared" si="83"/>
        <v>0</v>
      </c>
      <c r="Q754" s="3">
        <f t="shared" ca="1" si="81"/>
        <v>2707.82</v>
      </c>
    </row>
    <row r="755" spans="1:17" x14ac:dyDescent="0.25">
      <c r="A755" t="s">
        <v>759</v>
      </c>
      <c r="B755" t="s">
        <v>907</v>
      </c>
      <c r="C755" s="1">
        <v>45674</v>
      </c>
      <c r="D755" s="1">
        <v>45719</v>
      </c>
      <c r="E755">
        <v>289.7</v>
      </c>
      <c r="F755" t="s">
        <v>912</v>
      </c>
      <c r="G755" t="s">
        <v>917</v>
      </c>
      <c r="I755" t="s">
        <v>919</v>
      </c>
      <c r="J755" t="b">
        <f t="shared" si="77"/>
        <v>1</v>
      </c>
      <c r="K755" s="3">
        <f t="shared" ca="1" si="78"/>
        <v>377</v>
      </c>
      <c r="L755" s="3">
        <f t="shared" ca="1" si="79"/>
        <v>332</v>
      </c>
      <c r="M755" t="str">
        <f t="shared" ca="1" si="80"/>
        <v>Overdue</v>
      </c>
      <c r="N755">
        <f t="shared" si="82"/>
        <v>289.7</v>
      </c>
      <c r="O755" t="str" cm="1">
        <f t="array" aca="1" ref="O755" ca="1">_xlfn.IFS(
L755&lt;=0,"Not Due",
L755&lt;=30,"0–30 Days",
L755&lt;=60,"31–60 Days",
L755&lt;=90,"61–90 Days",
L755&lt;=180,"91–180 Days",
L755&lt;=365,"181–365 Days",
L755&gt;365,"365+ Days (High Risk)"
)</f>
        <v>181–365 Days</v>
      </c>
      <c r="P755">
        <f t="shared" si="83"/>
        <v>0</v>
      </c>
      <c r="Q755" s="3">
        <f t="shared" ca="1" si="81"/>
        <v>289.7</v>
      </c>
    </row>
    <row r="756" spans="1:17" x14ac:dyDescent="0.25">
      <c r="A756" t="s">
        <v>760</v>
      </c>
      <c r="B756" t="s">
        <v>909</v>
      </c>
      <c r="C756" s="1">
        <v>45816</v>
      </c>
      <c r="D756" s="1">
        <v>45861</v>
      </c>
      <c r="E756">
        <v>3246.06</v>
      </c>
      <c r="F756" t="s">
        <v>915</v>
      </c>
      <c r="G756" t="s">
        <v>916</v>
      </c>
      <c r="I756" t="s">
        <v>919</v>
      </c>
      <c r="J756" t="b">
        <f t="shared" si="77"/>
        <v>1</v>
      </c>
      <c r="K756" s="3">
        <f t="shared" ca="1" si="78"/>
        <v>235</v>
      </c>
      <c r="L756" s="3">
        <f t="shared" ca="1" si="79"/>
        <v>190</v>
      </c>
      <c r="M756" t="str">
        <f t="shared" ca="1" si="80"/>
        <v>Overdue</v>
      </c>
      <c r="N756">
        <f t="shared" si="82"/>
        <v>3246.06</v>
      </c>
      <c r="O756" t="str" cm="1">
        <f t="array" aca="1" ref="O756" ca="1">_xlfn.IFS(
L756&lt;=0,"Not Due",
L756&lt;=30,"0–30 Days",
L756&lt;=60,"31–60 Days",
L756&lt;=90,"61–90 Days",
L756&lt;=180,"91–180 Days",
L756&lt;=365,"181–365 Days",
L756&gt;365,"365+ Days (High Risk)"
)</f>
        <v>181–365 Days</v>
      </c>
      <c r="P756">
        <f t="shared" si="83"/>
        <v>0</v>
      </c>
      <c r="Q756" s="3">
        <f t="shared" ca="1" si="81"/>
        <v>3246.06</v>
      </c>
    </row>
    <row r="757" spans="1:17" x14ac:dyDescent="0.25">
      <c r="A757" t="s">
        <v>761</v>
      </c>
      <c r="B757" t="s">
        <v>908</v>
      </c>
      <c r="C757" s="1">
        <v>45186</v>
      </c>
      <c r="D757" s="1">
        <v>45231</v>
      </c>
      <c r="E757">
        <v>2844.18</v>
      </c>
      <c r="F757" t="s">
        <v>912</v>
      </c>
      <c r="G757" t="s">
        <v>918</v>
      </c>
      <c r="H757" s="1">
        <v>45231</v>
      </c>
      <c r="I757" t="s">
        <v>919</v>
      </c>
      <c r="J757" t="b">
        <f t="shared" si="77"/>
        <v>0</v>
      </c>
      <c r="K757" s="3">
        <f t="shared" ca="1" si="78"/>
        <v>45</v>
      </c>
      <c r="L757" s="3">
        <f t="shared" ca="1" si="79"/>
        <v>0</v>
      </c>
      <c r="M757" t="str">
        <f t="shared" ca="1" si="80"/>
        <v>On Time</v>
      </c>
      <c r="N757">
        <f t="shared" si="82"/>
        <v>0</v>
      </c>
      <c r="O757" t="str" cm="1">
        <f t="array" aca="1" ref="O757" ca="1">_xlfn.IFS(
L757&lt;=0,"Not Due",
L757&lt;=30,"0–30 Days",
L757&lt;=60,"31–60 Days",
L757&lt;=90,"61–90 Days",
L757&lt;=180,"91–180 Days",
L757&lt;=365,"181–365 Days",
L757&gt;365,"365+ Days (High Risk)"
)</f>
        <v>Not Due</v>
      </c>
      <c r="P757">
        <f t="shared" si="83"/>
        <v>2844.18</v>
      </c>
      <c r="Q757" s="3">
        <f t="shared" ca="1" si="81"/>
        <v>0</v>
      </c>
    </row>
    <row r="758" spans="1:17" x14ac:dyDescent="0.25">
      <c r="A758" t="s">
        <v>762</v>
      </c>
      <c r="B758" t="s">
        <v>906</v>
      </c>
      <c r="C758" s="1">
        <v>45332</v>
      </c>
      <c r="D758" s="1">
        <v>45377</v>
      </c>
      <c r="E758">
        <v>4564.2</v>
      </c>
      <c r="F758" t="s">
        <v>914</v>
      </c>
      <c r="G758" t="s">
        <v>916</v>
      </c>
      <c r="I758" t="s">
        <v>919</v>
      </c>
      <c r="J758" t="b">
        <f t="shared" si="77"/>
        <v>1</v>
      </c>
      <c r="K758" s="3">
        <f t="shared" ca="1" si="78"/>
        <v>719</v>
      </c>
      <c r="L758" s="3">
        <f t="shared" ca="1" si="79"/>
        <v>674</v>
      </c>
      <c r="M758" t="str">
        <f t="shared" ca="1" si="80"/>
        <v>Overdue</v>
      </c>
      <c r="N758">
        <f t="shared" si="82"/>
        <v>4564.2</v>
      </c>
      <c r="O758" t="str" cm="1">
        <f t="array" aca="1" ref="O758" ca="1">_xlfn.IFS(
L758&lt;=0,"Not Due",
L758&lt;=30,"0–30 Days",
L758&lt;=60,"31–60 Days",
L758&lt;=90,"61–90 Days",
L758&lt;=180,"91–180 Days",
L758&lt;=365,"181–365 Days",
L758&gt;365,"365+ Days (High Risk)"
)</f>
        <v>365+ Days (High Risk)</v>
      </c>
      <c r="P758">
        <f t="shared" si="83"/>
        <v>0</v>
      </c>
      <c r="Q758" s="3">
        <f t="shared" ca="1" si="81"/>
        <v>4564.2</v>
      </c>
    </row>
    <row r="759" spans="1:17" x14ac:dyDescent="0.25">
      <c r="A759" t="s">
        <v>763</v>
      </c>
      <c r="B759" t="s">
        <v>907</v>
      </c>
      <c r="C759" s="1">
        <v>45461</v>
      </c>
      <c r="D759" s="1">
        <v>45506</v>
      </c>
      <c r="E759">
        <v>5995.72</v>
      </c>
      <c r="F759" t="s">
        <v>911</v>
      </c>
      <c r="G759" t="s">
        <v>918</v>
      </c>
      <c r="H759" s="1">
        <v>45506</v>
      </c>
      <c r="I759" t="s">
        <v>919</v>
      </c>
      <c r="J759" t="b">
        <f t="shared" si="77"/>
        <v>0</v>
      </c>
      <c r="K759" s="3">
        <f t="shared" ca="1" si="78"/>
        <v>45</v>
      </c>
      <c r="L759" s="3">
        <f t="shared" ca="1" si="79"/>
        <v>0</v>
      </c>
      <c r="M759" t="str">
        <f t="shared" ca="1" si="80"/>
        <v>On Time</v>
      </c>
      <c r="N759">
        <f t="shared" si="82"/>
        <v>0</v>
      </c>
      <c r="O759" t="str" cm="1">
        <f t="array" aca="1" ref="O759" ca="1">_xlfn.IFS(
L759&lt;=0,"Not Due",
L759&lt;=30,"0–30 Days",
L759&lt;=60,"31–60 Days",
L759&lt;=90,"61–90 Days",
L759&lt;=180,"91–180 Days",
L759&lt;=365,"181–365 Days",
L759&gt;365,"365+ Days (High Risk)"
)</f>
        <v>Not Due</v>
      </c>
      <c r="P759">
        <f t="shared" si="83"/>
        <v>5995.72</v>
      </c>
      <c r="Q759" s="3">
        <f t="shared" ca="1" si="81"/>
        <v>0</v>
      </c>
    </row>
    <row r="760" spans="1:17" x14ac:dyDescent="0.25">
      <c r="A760" t="s">
        <v>764</v>
      </c>
      <c r="B760" t="s">
        <v>908</v>
      </c>
      <c r="C760" s="1">
        <v>45017</v>
      </c>
      <c r="D760" s="1">
        <v>45062</v>
      </c>
      <c r="E760">
        <v>1249.92</v>
      </c>
      <c r="F760" t="s">
        <v>913</v>
      </c>
      <c r="G760" t="s">
        <v>918</v>
      </c>
      <c r="H760" s="1">
        <v>45062</v>
      </c>
      <c r="I760" t="s">
        <v>919</v>
      </c>
      <c r="J760" t="b">
        <f t="shared" si="77"/>
        <v>0</v>
      </c>
      <c r="K760" s="3">
        <f t="shared" ca="1" si="78"/>
        <v>45</v>
      </c>
      <c r="L760" s="3">
        <f t="shared" ca="1" si="79"/>
        <v>0</v>
      </c>
      <c r="M760" t="str">
        <f t="shared" ca="1" si="80"/>
        <v>On Time</v>
      </c>
      <c r="N760">
        <f t="shared" si="82"/>
        <v>0</v>
      </c>
      <c r="O760" t="str" cm="1">
        <f t="array" aca="1" ref="O760" ca="1">_xlfn.IFS(
L760&lt;=0,"Not Due",
L760&lt;=30,"0–30 Days",
L760&lt;=60,"31–60 Days",
L760&lt;=90,"61–90 Days",
L760&lt;=180,"91–180 Days",
L760&lt;=365,"181–365 Days",
L760&gt;365,"365+ Days (High Risk)"
)</f>
        <v>Not Due</v>
      </c>
      <c r="P760">
        <f t="shared" si="83"/>
        <v>1249.92</v>
      </c>
      <c r="Q760" s="3">
        <f t="shared" ca="1" si="81"/>
        <v>0</v>
      </c>
    </row>
    <row r="761" spans="1:17" x14ac:dyDescent="0.25">
      <c r="A761" t="s">
        <v>765</v>
      </c>
      <c r="B761" t="s">
        <v>909</v>
      </c>
      <c r="C761" s="1">
        <v>45250</v>
      </c>
      <c r="D761" s="1">
        <v>45295</v>
      </c>
      <c r="E761">
        <v>417.53</v>
      </c>
      <c r="F761" t="s">
        <v>911</v>
      </c>
      <c r="G761" t="s">
        <v>918</v>
      </c>
      <c r="H761" s="1">
        <v>45295</v>
      </c>
      <c r="I761" t="s">
        <v>919</v>
      </c>
      <c r="J761" t="b">
        <f t="shared" si="77"/>
        <v>0</v>
      </c>
      <c r="K761" s="3">
        <f t="shared" ca="1" si="78"/>
        <v>45</v>
      </c>
      <c r="L761" s="3">
        <f t="shared" ca="1" si="79"/>
        <v>0</v>
      </c>
      <c r="M761" t="str">
        <f t="shared" ca="1" si="80"/>
        <v>On Time</v>
      </c>
      <c r="N761">
        <f t="shared" si="82"/>
        <v>0</v>
      </c>
      <c r="O761" t="str" cm="1">
        <f t="array" aca="1" ref="O761" ca="1">_xlfn.IFS(
L761&lt;=0,"Not Due",
L761&lt;=30,"0–30 Days",
L761&lt;=60,"31–60 Days",
L761&lt;=90,"61–90 Days",
L761&lt;=180,"91–180 Days",
L761&lt;=365,"181–365 Days",
L761&gt;365,"365+ Days (High Risk)"
)</f>
        <v>Not Due</v>
      </c>
      <c r="P761">
        <f t="shared" si="83"/>
        <v>417.53</v>
      </c>
      <c r="Q761" s="3">
        <f t="shared" ca="1" si="81"/>
        <v>0</v>
      </c>
    </row>
    <row r="762" spans="1:17" x14ac:dyDescent="0.25">
      <c r="A762" t="s">
        <v>766</v>
      </c>
      <c r="B762" t="s">
        <v>907</v>
      </c>
      <c r="C762" s="1">
        <v>45425</v>
      </c>
      <c r="D762" s="1">
        <v>45470</v>
      </c>
      <c r="E762">
        <v>555.04999999999995</v>
      </c>
      <c r="F762" t="s">
        <v>915</v>
      </c>
      <c r="G762" t="s">
        <v>918</v>
      </c>
      <c r="H762" s="1">
        <v>45470</v>
      </c>
      <c r="I762" t="s">
        <v>919</v>
      </c>
      <c r="J762" t="b">
        <f t="shared" si="77"/>
        <v>0</v>
      </c>
      <c r="K762" s="3">
        <f t="shared" ca="1" si="78"/>
        <v>45</v>
      </c>
      <c r="L762" s="3">
        <f t="shared" ca="1" si="79"/>
        <v>0</v>
      </c>
      <c r="M762" t="str">
        <f t="shared" ca="1" si="80"/>
        <v>On Time</v>
      </c>
      <c r="N762">
        <f t="shared" si="82"/>
        <v>0</v>
      </c>
      <c r="O762" t="str" cm="1">
        <f t="array" aca="1" ref="O762" ca="1">_xlfn.IFS(
L762&lt;=0,"Not Due",
L762&lt;=30,"0–30 Days",
L762&lt;=60,"31–60 Days",
L762&lt;=90,"61–90 Days",
L762&lt;=180,"91–180 Days",
L762&lt;=365,"181–365 Days",
L762&gt;365,"365+ Days (High Risk)"
)</f>
        <v>Not Due</v>
      </c>
      <c r="P762">
        <f t="shared" si="83"/>
        <v>555.04999999999995</v>
      </c>
      <c r="Q762" s="3">
        <f t="shared" ca="1" si="81"/>
        <v>0</v>
      </c>
    </row>
    <row r="763" spans="1:17" x14ac:dyDescent="0.25">
      <c r="A763" t="s">
        <v>767</v>
      </c>
      <c r="B763" t="s">
        <v>907</v>
      </c>
      <c r="C763" s="1">
        <v>45748</v>
      </c>
      <c r="D763" s="1">
        <v>45793</v>
      </c>
      <c r="E763">
        <v>4786.58</v>
      </c>
      <c r="F763" t="s">
        <v>911</v>
      </c>
      <c r="G763" t="s">
        <v>918</v>
      </c>
      <c r="H763" s="1">
        <v>45793</v>
      </c>
      <c r="I763" t="s">
        <v>919</v>
      </c>
      <c r="J763" t="b">
        <f t="shared" si="77"/>
        <v>0</v>
      </c>
      <c r="K763" s="3">
        <f t="shared" ca="1" si="78"/>
        <v>45</v>
      </c>
      <c r="L763" s="3">
        <f t="shared" ca="1" si="79"/>
        <v>0</v>
      </c>
      <c r="M763" t="str">
        <f t="shared" ca="1" si="80"/>
        <v>On Time</v>
      </c>
      <c r="N763">
        <f t="shared" si="82"/>
        <v>0</v>
      </c>
      <c r="O763" t="str" cm="1">
        <f t="array" aca="1" ref="O763" ca="1">_xlfn.IFS(
L763&lt;=0,"Not Due",
L763&lt;=30,"0–30 Days",
L763&lt;=60,"31–60 Days",
L763&lt;=90,"61–90 Days",
L763&lt;=180,"91–180 Days",
L763&lt;=365,"181–365 Days",
L763&gt;365,"365+ Days (High Risk)"
)</f>
        <v>Not Due</v>
      </c>
      <c r="P763">
        <f t="shared" si="83"/>
        <v>4786.58</v>
      </c>
      <c r="Q763" s="3">
        <f t="shared" ca="1" si="81"/>
        <v>0</v>
      </c>
    </row>
    <row r="764" spans="1:17" x14ac:dyDescent="0.25">
      <c r="A764" t="s">
        <v>768</v>
      </c>
      <c r="B764" t="s">
        <v>910</v>
      </c>
      <c r="C764" s="1">
        <v>44934</v>
      </c>
      <c r="D764" s="1">
        <v>44979</v>
      </c>
      <c r="E764">
        <v>4534.3999999999996</v>
      </c>
      <c r="F764" t="s">
        <v>912</v>
      </c>
      <c r="G764" t="s">
        <v>918</v>
      </c>
      <c r="H764" s="1">
        <v>44979</v>
      </c>
      <c r="I764" t="s">
        <v>919</v>
      </c>
      <c r="J764" t="b">
        <f t="shared" si="77"/>
        <v>0</v>
      </c>
      <c r="K764" s="3">
        <f t="shared" ca="1" si="78"/>
        <v>45</v>
      </c>
      <c r="L764" s="3">
        <f t="shared" ca="1" si="79"/>
        <v>0</v>
      </c>
      <c r="M764" t="str">
        <f t="shared" ca="1" si="80"/>
        <v>On Time</v>
      </c>
      <c r="N764">
        <f t="shared" si="82"/>
        <v>0</v>
      </c>
      <c r="O764" t="str" cm="1">
        <f t="array" aca="1" ref="O764" ca="1">_xlfn.IFS(
L764&lt;=0,"Not Due",
L764&lt;=30,"0–30 Days",
L764&lt;=60,"31–60 Days",
L764&lt;=90,"61–90 Days",
L764&lt;=180,"91–180 Days",
L764&lt;=365,"181–365 Days",
L764&gt;365,"365+ Days (High Risk)"
)</f>
        <v>Not Due</v>
      </c>
      <c r="P764">
        <f t="shared" si="83"/>
        <v>4534.3999999999996</v>
      </c>
      <c r="Q764" s="3">
        <f t="shared" ca="1" si="81"/>
        <v>0</v>
      </c>
    </row>
    <row r="765" spans="1:17" x14ac:dyDescent="0.25">
      <c r="A765" t="s">
        <v>769</v>
      </c>
      <c r="B765" t="s">
        <v>906</v>
      </c>
      <c r="C765" s="1">
        <v>45246</v>
      </c>
      <c r="D765" s="1">
        <v>45291</v>
      </c>
      <c r="E765">
        <v>5553.38</v>
      </c>
      <c r="F765" t="s">
        <v>915</v>
      </c>
      <c r="G765" t="s">
        <v>918</v>
      </c>
      <c r="H765" s="1">
        <v>45291</v>
      </c>
      <c r="I765" t="s">
        <v>919</v>
      </c>
      <c r="J765" t="b">
        <f t="shared" si="77"/>
        <v>0</v>
      </c>
      <c r="K765" s="3">
        <f t="shared" ca="1" si="78"/>
        <v>45</v>
      </c>
      <c r="L765" s="3">
        <f t="shared" ca="1" si="79"/>
        <v>0</v>
      </c>
      <c r="M765" t="str">
        <f t="shared" ca="1" si="80"/>
        <v>On Time</v>
      </c>
      <c r="N765">
        <f t="shared" si="82"/>
        <v>0</v>
      </c>
      <c r="O765" t="str" cm="1">
        <f t="array" aca="1" ref="O765" ca="1">_xlfn.IFS(
L765&lt;=0,"Not Due",
L765&lt;=30,"0–30 Days",
L765&lt;=60,"31–60 Days",
L765&lt;=90,"61–90 Days",
L765&lt;=180,"91–180 Days",
L765&lt;=365,"181–365 Days",
L765&gt;365,"365+ Days (High Risk)"
)</f>
        <v>Not Due</v>
      </c>
      <c r="P765">
        <f t="shared" si="83"/>
        <v>5553.38</v>
      </c>
      <c r="Q765" s="3">
        <f t="shared" ca="1" si="81"/>
        <v>0</v>
      </c>
    </row>
    <row r="766" spans="1:17" x14ac:dyDescent="0.25">
      <c r="A766" t="s">
        <v>770</v>
      </c>
      <c r="B766" t="s">
        <v>910</v>
      </c>
      <c r="C766" s="1">
        <v>45142</v>
      </c>
      <c r="D766" s="1">
        <v>45187</v>
      </c>
      <c r="E766">
        <v>4181.1899999999996</v>
      </c>
      <c r="F766" t="s">
        <v>915</v>
      </c>
      <c r="G766" t="s">
        <v>917</v>
      </c>
      <c r="I766" t="s">
        <v>919</v>
      </c>
      <c r="J766" t="b">
        <f t="shared" si="77"/>
        <v>1</v>
      </c>
      <c r="K766" s="3">
        <f t="shared" ca="1" si="78"/>
        <v>909</v>
      </c>
      <c r="L766" s="3">
        <f t="shared" ca="1" si="79"/>
        <v>864</v>
      </c>
      <c r="M766" t="str">
        <f t="shared" ca="1" si="80"/>
        <v>Overdue</v>
      </c>
      <c r="N766">
        <f t="shared" si="82"/>
        <v>4181.1899999999996</v>
      </c>
      <c r="O766" t="str" cm="1">
        <f t="array" aca="1" ref="O766" ca="1">_xlfn.IFS(
L766&lt;=0,"Not Due",
L766&lt;=30,"0–30 Days",
L766&lt;=60,"31–60 Days",
L766&lt;=90,"61–90 Days",
L766&lt;=180,"91–180 Days",
L766&lt;=365,"181–365 Days",
L766&gt;365,"365+ Days (High Risk)"
)</f>
        <v>365+ Days (High Risk)</v>
      </c>
      <c r="P766">
        <f t="shared" si="83"/>
        <v>0</v>
      </c>
      <c r="Q766" s="3">
        <f t="shared" ca="1" si="81"/>
        <v>4181.1899999999996</v>
      </c>
    </row>
    <row r="767" spans="1:17" x14ac:dyDescent="0.25">
      <c r="A767" t="s">
        <v>771</v>
      </c>
      <c r="B767" t="s">
        <v>906</v>
      </c>
      <c r="C767" s="1">
        <v>45455</v>
      </c>
      <c r="D767" s="1">
        <v>45500</v>
      </c>
      <c r="E767">
        <v>2073.36</v>
      </c>
      <c r="F767" t="s">
        <v>913</v>
      </c>
      <c r="G767" t="s">
        <v>918</v>
      </c>
      <c r="H767" s="1">
        <v>45500</v>
      </c>
      <c r="I767" t="s">
        <v>919</v>
      </c>
      <c r="J767" t="b">
        <f t="shared" si="77"/>
        <v>0</v>
      </c>
      <c r="K767" s="3">
        <f t="shared" ca="1" si="78"/>
        <v>45</v>
      </c>
      <c r="L767" s="3">
        <f t="shared" ca="1" si="79"/>
        <v>0</v>
      </c>
      <c r="M767" t="str">
        <f t="shared" ca="1" si="80"/>
        <v>On Time</v>
      </c>
      <c r="N767">
        <f t="shared" si="82"/>
        <v>0</v>
      </c>
      <c r="O767" t="str" cm="1">
        <f t="array" aca="1" ref="O767" ca="1">_xlfn.IFS(
L767&lt;=0,"Not Due",
L767&lt;=30,"0–30 Days",
L767&lt;=60,"31–60 Days",
L767&lt;=90,"61–90 Days",
L767&lt;=180,"91–180 Days",
L767&lt;=365,"181–365 Days",
L767&gt;365,"365+ Days (High Risk)"
)</f>
        <v>Not Due</v>
      </c>
      <c r="P767">
        <f t="shared" si="83"/>
        <v>2073.36</v>
      </c>
      <c r="Q767" s="3">
        <f t="shared" ca="1" si="81"/>
        <v>0</v>
      </c>
    </row>
    <row r="768" spans="1:17" x14ac:dyDescent="0.25">
      <c r="A768" t="s">
        <v>772</v>
      </c>
      <c r="B768" t="s">
        <v>909</v>
      </c>
      <c r="C768" s="1">
        <v>45526</v>
      </c>
      <c r="D768" s="1">
        <v>45571</v>
      </c>
      <c r="E768">
        <v>5261.47</v>
      </c>
      <c r="F768" t="s">
        <v>911</v>
      </c>
      <c r="G768" t="s">
        <v>917</v>
      </c>
      <c r="I768" t="s">
        <v>919</v>
      </c>
      <c r="J768" t="b">
        <f t="shared" si="77"/>
        <v>1</v>
      </c>
      <c r="K768" s="3">
        <f t="shared" ca="1" si="78"/>
        <v>525</v>
      </c>
      <c r="L768" s="3">
        <f t="shared" ca="1" si="79"/>
        <v>480</v>
      </c>
      <c r="M768" t="str">
        <f t="shared" ca="1" si="80"/>
        <v>Overdue</v>
      </c>
      <c r="N768">
        <f t="shared" si="82"/>
        <v>5261.47</v>
      </c>
      <c r="O768" t="str" cm="1">
        <f t="array" aca="1" ref="O768" ca="1">_xlfn.IFS(
L768&lt;=0,"Not Due",
L768&lt;=30,"0–30 Days",
L768&lt;=60,"31–60 Days",
L768&lt;=90,"61–90 Days",
L768&lt;=180,"91–180 Days",
L768&lt;=365,"181–365 Days",
L768&gt;365,"365+ Days (High Risk)"
)</f>
        <v>365+ Days (High Risk)</v>
      </c>
      <c r="P768">
        <f t="shared" si="83"/>
        <v>0</v>
      </c>
      <c r="Q768" s="3">
        <f t="shared" ca="1" si="81"/>
        <v>5261.47</v>
      </c>
    </row>
    <row r="769" spans="1:17" x14ac:dyDescent="0.25">
      <c r="A769" t="s">
        <v>773</v>
      </c>
      <c r="B769" t="s">
        <v>910</v>
      </c>
      <c r="C769" s="1">
        <v>45263</v>
      </c>
      <c r="D769" s="1">
        <v>45308</v>
      </c>
      <c r="E769">
        <v>4961.4399999999996</v>
      </c>
      <c r="F769" t="s">
        <v>915</v>
      </c>
      <c r="G769" t="s">
        <v>917</v>
      </c>
      <c r="I769" t="s">
        <v>919</v>
      </c>
      <c r="J769" t="b">
        <f t="shared" si="77"/>
        <v>1</v>
      </c>
      <c r="K769" s="3">
        <f t="shared" ca="1" si="78"/>
        <v>788</v>
      </c>
      <c r="L769" s="3">
        <f t="shared" ca="1" si="79"/>
        <v>743</v>
      </c>
      <c r="M769" t="str">
        <f t="shared" ca="1" si="80"/>
        <v>Overdue</v>
      </c>
      <c r="N769">
        <f t="shared" si="82"/>
        <v>4961.4399999999996</v>
      </c>
      <c r="O769" t="str" cm="1">
        <f t="array" aca="1" ref="O769" ca="1">_xlfn.IFS(
L769&lt;=0,"Not Due",
L769&lt;=30,"0–30 Days",
L769&lt;=60,"31–60 Days",
L769&lt;=90,"61–90 Days",
L769&lt;=180,"91–180 Days",
L769&lt;=365,"181–365 Days",
L769&gt;365,"365+ Days (High Risk)"
)</f>
        <v>365+ Days (High Risk)</v>
      </c>
      <c r="P769">
        <f t="shared" si="83"/>
        <v>0</v>
      </c>
      <c r="Q769" s="3">
        <f t="shared" ca="1" si="81"/>
        <v>4961.4399999999996</v>
      </c>
    </row>
    <row r="770" spans="1:17" x14ac:dyDescent="0.25">
      <c r="A770" t="s">
        <v>774</v>
      </c>
      <c r="B770" t="s">
        <v>906</v>
      </c>
      <c r="C770" s="1">
        <v>45810</v>
      </c>
      <c r="D770" s="1">
        <v>45855</v>
      </c>
      <c r="E770">
        <v>3635.6</v>
      </c>
      <c r="F770" t="s">
        <v>913</v>
      </c>
      <c r="G770" t="s">
        <v>918</v>
      </c>
      <c r="H770" s="1">
        <v>45855</v>
      </c>
      <c r="I770" t="s">
        <v>919</v>
      </c>
      <c r="J770" t="b">
        <f t="shared" ref="J770:J833" si="84">ISBLANK(H770)</f>
        <v>0</v>
      </c>
      <c r="K770" s="3">
        <f t="shared" ref="K770:K833" ca="1" si="85">IF(G770="Received",
IF(H770="",TODAY()-C770,H770-C770),
TODAY()-C770)</f>
        <v>45</v>
      </c>
      <c r="L770" s="3">
        <f t="shared" ref="L770:L833" ca="1" si="86">IF(N770=0,0,TODAY()-D770)</f>
        <v>0</v>
      </c>
      <c r="M770" t="str">
        <f t="shared" ref="M770:M833" ca="1" si="87">IF(L770&gt;0,"Overdue","On Time")</f>
        <v>On Time</v>
      </c>
      <c r="N770">
        <f t="shared" si="82"/>
        <v>0</v>
      </c>
      <c r="O770" t="str" cm="1">
        <f t="array" aca="1" ref="O770" ca="1">_xlfn.IFS(
L770&lt;=0,"Not Due",
L770&lt;=30,"0–30 Days",
L770&lt;=60,"31–60 Days",
L770&lt;=90,"61–90 Days",
L770&lt;=180,"91–180 Days",
L770&lt;=365,"181–365 Days",
L770&gt;365,"365+ Days (High Risk)"
)</f>
        <v>Not Due</v>
      </c>
      <c r="P770">
        <f t="shared" si="83"/>
        <v>3635.6</v>
      </c>
      <c r="Q770" s="3">
        <f t="shared" ref="Q770:Q833" ca="1" si="88">IF(L770&gt;0, N770, 0)</f>
        <v>0</v>
      </c>
    </row>
    <row r="771" spans="1:17" x14ac:dyDescent="0.25">
      <c r="A771" t="s">
        <v>775</v>
      </c>
      <c r="B771" t="s">
        <v>907</v>
      </c>
      <c r="C771" s="1">
        <v>45781</v>
      </c>
      <c r="D771" s="1">
        <v>45826</v>
      </c>
      <c r="E771">
        <v>556.26</v>
      </c>
      <c r="F771" t="s">
        <v>913</v>
      </c>
      <c r="G771" t="s">
        <v>917</v>
      </c>
      <c r="I771" t="s">
        <v>919</v>
      </c>
      <c r="J771" t="b">
        <f t="shared" si="84"/>
        <v>1</v>
      </c>
      <c r="K771" s="3">
        <f t="shared" ca="1" si="85"/>
        <v>270</v>
      </c>
      <c r="L771" s="3">
        <f t="shared" ca="1" si="86"/>
        <v>225</v>
      </c>
      <c r="M771" t="str">
        <f t="shared" ca="1" si="87"/>
        <v>Overdue</v>
      </c>
      <c r="N771">
        <f t="shared" ref="N771:N834" si="89">IF(G771="Received",0,E771)</f>
        <v>556.26</v>
      </c>
      <c r="O771" t="str" cm="1">
        <f t="array" aca="1" ref="O771" ca="1">_xlfn.IFS(
L771&lt;=0,"Not Due",
L771&lt;=30,"0–30 Days",
L771&lt;=60,"31–60 Days",
L771&lt;=90,"61–90 Days",
L771&lt;=180,"91–180 Days",
L771&lt;=365,"181–365 Days",
L771&gt;365,"365+ Days (High Risk)"
)</f>
        <v>181–365 Days</v>
      </c>
      <c r="P771">
        <f t="shared" ref="P771:P834" si="90">E771-N771</f>
        <v>0</v>
      </c>
      <c r="Q771" s="3">
        <f t="shared" ca="1" si="88"/>
        <v>556.26</v>
      </c>
    </row>
    <row r="772" spans="1:17" x14ac:dyDescent="0.25">
      <c r="A772" t="s">
        <v>776</v>
      </c>
      <c r="B772" t="s">
        <v>910</v>
      </c>
      <c r="C772" s="1">
        <v>45752</v>
      </c>
      <c r="D772" s="1">
        <v>45797</v>
      </c>
      <c r="E772">
        <v>3646.79</v>
      </c>
      <c r="F772" t="s">
        <v>912</v>
      </c>
      <c r="G772" t="s">
        <v>917</v>
      </c>
      <c r="I772" t="s">
        <v>919</v>
      </c>
      <c r="J772" t="b">
        <f t="shared" si="84"/>
        <v>1</v>
      </c>
      <c r="K772" s="3">
        <f t="shared" ca="1" si="85"/>
        <v>299</v>
      </c>
      <c r="L772" s="3">
        <f t="shared" ca="1" si="86"/>
        <v>254</v>
      </c>
      <c r="M772" t="str">
        <f t="shared" ca="1" si="87"/>
        <v>Overdue</v>
      </c>
      <c r="N772">
        <f t="shared" si="89"/>
        <v>3646.79</v>
      </c>
      <c r="O772" t="str" cm="1">
        <f t="array" aca="1" ref="O772" ca="1">_xlfn.IFS(
L772&lt;=0,"Not Due",
L772&lt;=30,"0–30 Days",
L772&lt;=60,"31–60 Days",
L772&lt;=90,"61–90 Days",
L772&lt;=180,"91–180 Days",
L772&lt;=365,"181–365 Days",
L772&gt;365,"365+ Days (High Risk)"
)</f>
        <v>181–365 Days</v>
      </c>
      <c r="P772">
        <f t="shared" si="90"/>
        <v>0</v>
      </c>
      <c r="Q772" s="3">
        <f t="shared" ca="1" si="88"/>
        <v>3646.79</v>
      </c>
    </row>
    <row r="773" spans="1:17" x14ac:dyDescent="0.25">
      <c r="A773" t="s">
        <v>777</v>
      </c>
      <c r="B773" t="s">
        <v>908</v>
      </c>
      <c r="C773" s="1">
        <v>45444</v>
      </c>
      <c r="D773" s="1">
        <v>45489</v>
      </c>
      <c r="E773">
        <v>3481.23</v>
      </c>
      <c r="F773" t="s">
        <v>914</v>
      </c>
      <c r="G773" t="s">
        <v>918</v>
      </c>
      <c r="H773" s="1">
        <v>45489</v>
      </c>
      <c r="I773" t="s">
        <v>919</v>
      </c>
      <c r="J773" t="b">
        <f t="shared" si="84"/>
        <v>0</v>
      </c>
      <c r="K773" s="3">
        <f t="shared" ca="1" si="85"/>
        <v>45</v>
      </c>
      <c r="L773" s="3">
        <f t="shared" ca="1" si="86"/>
        <v>0</v>
      </c>
      <c r="M773" t="str">
        <f t="shared" ca="1" si="87"/>
        <v>On Time</v>
      </c>
      <c r="N773">
        <f t="shared" si="89"/>
        <v>0</v>
      </c>
      <c r="O773" t="str" cm="1">
        <f t="array" aca="1" ref="O773" ca="1">_xlfn.IFS(
L773&lt;=0,"Not Due",
L773&lt;=30,"0–30 Days",
L773&lt;=60,"31–60 Days",
L773&lt;=90,"61–90 Days",
L773&lt;=180,"91–180 Days",
L773&lt;=365,"181–365 Days",
L773&gt;365,"365+ Days (High Risk)"
)</f>
        <v>Not Due</v>
      </c>
      <c r="P773">
        <f t="shared" si="90"/>
        <v>3481.23</v>
      </c>
      <c r="Q773" s="3">
        <f t="shared" ca="1" si="88"/>
        <v>0</v>
      </c>
    </row>
    <row r="774" spans="1:17" x14ac:dyDescent="0.25">
      <c r="A774" t="s">
        <v>778</v>
      </c>
      <c r="B774" t="s">
        <v>909</v>
      </c>
      <c r="C774" s="1">
        <v>45013</v>
      </c>
      <c r="D774" s="1">
        <v>45058</v>
      </c>
      <c r="E774">
        <v>5455.28</v>
      </c>
      <c r="F774" t="s">
        <v>912</v>
      </c>
      <c r="G774" t="s">
        <v>918</v>
      </c>
      <c r="H774" s="1">
        <v>45058</v>
      </c>
      <c r="I774" t="s">
        <v>919</v>
      </c>
      <c r="J774" t="b">
        <f t="shared" si="84"/>
        <v>0</v>
      </c>
      <c r="K774" s="3">
        <f t="shared" ca="1" si="85"/>
        <v>45</v>
      </c>
      <c r="L774" s="3">
        <f t="shared" ca="1" si="86"/>
        <v>0</v>
      </c>
      <c r="M774" t="str">
        <f t="shared" ca="1" si="87"/>
        <v>On Time</v>
      </c>
      <c r="N774">
        <f t="shared" si="89"/>
        <v>0</v>
      </c>
      <c r="O774" t="str" cm="1">
        <f t="array" aca="1" ref="O774" ca="1">_xlfn.IFS(
L774&lt;=0,"Not Due",
L774&lt;=30,"0–30 Days",
L774&lt;=60,"31–60 Days",
L774&lt;=90,"61–90 Days",
L774&lt;=180,"91–180 Days",
L774&lt;=365,"181–365 Days",
L774&gt;365,"365+ Days (High Risk)"
)</f>
        <v>Not Due</v>
      </c>
      <c r="P774">
        <f t="shared" si="90"/>
        <v>5455.28</v>
      </c>
      <c r="Q774" s="3">
        <f t="shared" ca="1" si="88"/>
        <v>0</v>
      </c>
    </row>
    <row r="775" spans="1:17" x14ac:dyDescent="0.25">
      <c r="A775" t="s">
        <v>779</v>
      </c>
      <c r="B775" t="s">
        <v>907</v>
      </c>
      <c r="C775" s="1">
        <v>45476</v>
      </c>
      <c r="D775" s="1">
        <v>45521</v>
      </c>
      <c r="E775">
        <v>878.36</v>
      </c>
      <c r="F775" t="s">
        <v>913</v>
      </c>
      <c r="G775" t="s">
        <v>918</v>
      </c>
      <c r="H775" s="1">
        <v>45521</v>
      </c>
      <c r="I775" t="s">
        <v>919</v>
      </c>
      <c r="J775" t="b">
        <f t="shared" si="84"/>
        <v>0</v>
      </c>
      <c r="K775" s="3">
        <f t="shared" ca="1" si="85"/>
        <v>45</v>
      </c>
      <c r="L775" s="3">
        <f t="shared" ca="1" si="86"/>
        <v>0</v>
      </c>
      <c r="M775" t="str">
        <f t="shared" ca="1" si="87"/>
        <v>On Time</v>
      </c>
      <c r="N775">
        <f t="shared" si="89"/>
        <v>0</v>
      </c>
      <c r="O775" t="str" cm="1">
        <f t="array" aca="1" ref="O775" ca="1">_xlfn.IFS(
L775&lt;=0,"Not Due",
L775&lt;=30,"0–30 Days",
L775&lt;=60,"31–60 Days",
L775&lt;=90,"61–90 Days",
L775&lt;=180,"91–180 Days",
L775&lt;=365,"181–365 Days",
L775&gt;365,"365+ Days (High Risk)"
)</f>
        <v>Not Due</v>
      </c>
      <c r="P775">
        <f t="shared" si="90"/>
        <v>878.36</v>
      </c>
      <c r="Q775" s="3">
        <f t="shared" ca="1" si="88"/>
        <v>0</v>
      </c>
    </row>
    <row r="776" spans="1:17" x14ac:dyDescent="0.25">
      <c r="A776" t="s">
        <v>780</v>
      </c>
      <c r="B776" t="s">
        <v>909</v>
      </c>
      <c r="C776" s="1">
        <v>45396</v>
      </c>
      <c r="D776" s="1">
        <v>45441</v>
      </c>
      <c r="E776">
        <v>3961.35</v>
      </c>
      <c r="F776" t="s">
        <v>913</v>
      </c>
      <c r="G776" t="s">
        <v>916</v>
      </c>
      <c r="I776" t="s">
        <v>919</v>
      </c>
      <c r="J776" t="b">
        <f t="shared" si="84"/>
        <v>1</v>
      </c>
      <c r="K776" s="3">
        <f t="shared" ca="1" si="85"/>
        <v>655</v>
      </c>
      <c r="L776" s="3">
        <f t="shared" ca="1" si="86"/>
        <v>610</v>
      </c>
      <c r="M776" t="str">
        <f t="shared" ca="1" si="87"/>
        <v>Overdue</v>
      </c>
      <c r="N776">
        <f t="shared" si="89"/>
        <v>3961.35</v>
      </c>
      <c r="O776" t="str" cm="1">
        <f t="array" aca="1" ref="O776" ca="1">_xlfn.IFS(
L776&lt;=0,"Not Due",
L776&lt;=30,"0–30 Days",
L776&lt;=60,"31–60 Days",
L776&lt;=90,"61–90 Days",
L776&lt;=180,"91–180 Days",
L776&lt;=365,"181–365 Days",
L776&gt;365,"365+ Days (High Risk)"
)</f>
        <v>365+ Days (High Risk)</v>
      </c>
      <c r="P776">
        <f t="shared" si="90"/>
        <v>0</v>
      </c>
      <c r="Q776" s="3">
        <f t="shared" ca="1" si="88"/>
        <v>3961.35</v>
      </c>
    </row>
    <row r="777" spans="1:17" x14ac:dyDescent="0.25">
      <c r="A777" t="s">
        <v>781</v>
      </c>
      <c r="B777" t="s">
        <v>908</v>
      </c>
      <c r="C777" s="1">
        <v>45793</v>
      </c>
      <c r="D777" s="1">
        <v>45838</v>
      </c>
      <c r="E777">
        <v>1826.28</v>
      </c>
      <c r="F777" t="s">
        <v>913</v>
      </c>
      <c r="G777" t="s">
        <v>918</v>
      </c>
      <c r="H777" s="1">
        <v>45838</v>
      </c>
      <c r="I777" t="s">
        <v>919</v>
      </c>
      <c r="J777" t="b">
        <f t="shared" si="84"/>
        <v>0</v>
      </c>
      <c r="K777" s="3">
        <f t="shared" ca="1" si="85"/>
        <v>45</v>
      </c>
      <c r="L777" s="3">
        <f t="shared" ca="1" si="86"/>
        <v>0</v>
      </c>
      <c r="M777" t="str">
        <f t="shared" ca="1" si="87"/>
        <v>On Time</v>
      </c>
      <c r="N777">
        <f t="shared" si="89"/>
        <v>0</v>
      </c>
      <c r="O777" t="str" cm="1">
        <f t="array" aca="1" ref="O777" ca="1">_xlfn.IFS(
L777&lt;=0,"Not Due",
L777&lt;=30,"0–30 Days",
L777&lt;=60,"31–60 Days",
L777&lt;=90,"61–90 Days",
L777&lt;=180,"91–180 Days",
L777&lt;=365,"181–365 Days",
L777&gt;365,"365+ Days (High Risk)"
)</f>
        <v>Not Due</v>
      </c>
      <c r="P777">
        <f t="shared" si="90"/>
        <v>1826.28</v>
      </c>
      <c r="Q777" s="3">
        <f t="shared" ca="1" si="88"/>
        <v>0</v>
      </c>
    </row>
    <row r="778" spans="1:17" x14ac:dyDescent="0.25">
      <c r="A778" t="s">
        <v>782</v>
      </c>
      <c r="B778" t="s">
        <v>909</v>
      </c>
      <c r="C778" s="1">
        <v>44953</v>
      </c>
      <c r="D778" s="1">
        <v>44998</v>
      </c>
      <c r="E778">
        <v>1812.47</v>
      </c>
      <c r="F778" t="s">
        <v>912</v>
      </c>
      <c r="G778" t="s">
        <v>916</v>
      </c>
      <c r="I778" t="s">
        <v>919</v>
      </c>
      <c r="J778" t="b">
        <f t="shared" si="84"/>
        <v>1</v>
      </c>
      <c r="K778" s="3">
        <f t="shared" ca="1" si="85"/>
        <v>1098</v>
      </c>
      <c r="L778" s="3">
        <f t="shared" ca="1" si="86"/>
        <v>1053</v>
      </c>
      <c r="M778" t="str">
        <f t="shared" ca="1" si="87"/>
        <v>Overdue</v>
      </c>
      <c r="N778">
        <f t="shared" si="89"/>
        <v>1812.47</v>
      </c>
      <c r="O778" t="str" cm="1">
        <f t="array" aca="1" ref="O778" ca="1">_xlfn.IFS(
L778&lt;=0,"Not Due",
L778&lt;=30,"0–30 Days",
L778&lt;=60,"31–60 Days",
L778&lt;=90,"61–90 Days",
L778&lt;=180,"91–180 Days",
L778&lt;=365,"181–365 Days",
L778&gt;365,"365+ Days (High Risk)"
)</f>
        <v>365+ Days (High Risk)</v>
      </c>
      <c r="P778">
        <f t="shared" si="90"/>
        <v>0</v>
      </c>
      <c r="Q778" s="3">
        <f t="shared" ca="1" si="88"/>
        <v>1812.47</v>
      </c>
    </row>
    <row r="779" spans="1:17" x14ac:dyDescent="0.25">
      <c r="A779" t="s">
        <v>783</v>
      </c>
      <c r="B779" t="s">
        <v>910</v>
      </c>
      <c r="C779" s="1">
        <v>45641</v>
      </c>
      <c r="D779" s="1">
        <v>45686</v>
      </c>
      <c r="E779">
        <v>661.49</v>
      </c>
      <c r="F779" t="s">
        <v>911</v>
      </c>
      <c r="G779" t="s">
        <v>917</v>
      </c>
      <c r="I779" t="s">
        <v>919</v>
      </c>
      <c r="J779" t="b">
        <f t="shared" si="84"/>
        <v>1</v>
      </c>
      <c r="K779" s="3">
        <f t="shared" ca="1" si="85"/>
        <v>410</v>
      </c>
      <c r="L779" s="3">
        <f t="shared" ca="1" si="86"/>
        <v>365</v>
      </c>
      <c r="M779" t="str">
        <f t="shared" ca="1" si="87"/>
        <v>Overdue</v>
      </c>
      <c r="N779">
        <f t="shared" si="89"/>
        <v>661.49</v>
      </c>
      <c r="O779" t="str" cm="1">
        <f t="array" aca="1" ref="O779" ca="1">_xlfn.IFS(
L779&lt;=0,"Not Due",
L779&lt;=30,"0–30 Days",
L779&lt;=60,"31–60 Days",
L779&lt;=90,"61–90 Days",
L779&lt;=180,"91–180 Days",
L779&lt;=365,"181–365 Days",
L779&gt;365,"365+ Days (High Risk)"
)</f>
        <v>181–365 Days</v>
      </c>
      <c r="P779">
        <f t="shared" si="90"/>
        <v>0</v>
      </c>
      <c r="Q779" s="3">
        <f t="shared" ca="1" si="88"/>
        <v>661.49</v>
      </c>
    </row>
    <row r="780" spans="1:17" x14ac:dyDescent="0.25">
      <c r="A780" t="s">
        <v>784</v>
      </c>
      <c r="B780" t="s">
        <v>906</v>
      </c>
      <c r="C780" s="1">
        <v>45668</v>
      </c>
      <c r="D780" s="1">
        <v>45713</v>
      </c>
      <c r="E780">
        <v>5875.17</v>
      </c>
      <c r="F780" t="s">
        <v>912</v>
      </c>
      <c r="G780" t="s">
        <v>918</v>
      </c>
      <c r="H780" s="1">
        <v>45713</v>
      </c>
      <c r="I780" t="s">
        <v>919</v>
      </c>
      <c r="J780" t="b">
        <f t="shared" si="84"/>
        <v>0</v>
      </c>
      <c r="K780" s="3">
        <f t="shared" ca="1" si="85"/>
        <v>45</v>
      </c>
      <c r="L780" s="3">
        <f t="shared" ca="1" si="86"/>
        <v>0</v>
      </c>
      <c r="M780" t="str">
        <f t="shared" ca="1" si="87"/>
        <v>On Time</v>
      </c>
      <c r="N780">
        <f t="shared" si="89"/>
        <v>0</v>
      </c>
      <c r="O780" t="str" cm="1">
        <f t="array" aca="1" ref="O780" ca="1">_xlfn.IFS(
L780&lt;=0,"Not Due",
L780&lt;=30,"0–30 Days",
L780&lt;=60,"31–60 Days",
L780&lt;=90,"61–90 Days",
L780&lt;=180,"91–180 Days",
L780&lt;=365,"181–365 Days",
L780&gt;365,"365+ Days (High Risk)"
)</f>
        <v>Not Due</v>
      </c>
      <c r="P780">
        <f t="shared" si="90"/>
        <v>5875.17</v>
      </c>
      <c r="Q780" s="3">
        <f t="shared" ca="1" si="88"/>
        <v>0</v>
      </c>
    </row>
    <row r="781" spans="1:17" x14ac:dyDescent="0.25">
      <c r="A781" t="s">
        <v>785</v>
      </c>
      <c r="B781" t="s">
        <v>907</v>
      </c>
      <c r="C781" s="1">
        <v>45404</v>
      </c>
      <c r="D781" s="1">
        <v>45449</v>
      </c>
      <c r="E781">
        <v>6564.03</v>
      </c>
      <c r="F781" t="s">
        <v>914</v>
      </c>
      <c r="G781" t="s">
        <v>918</v>
      </c>
      <c r="H781" s="1">
        <v>45449</v>
      </c>
      <c r="I781" t="s">
        <v>919</v>
      </c>
      <c r="J781" t="b">
        <f t="shared" si="84"/>
        <v>0</v>
      </c>
      <c r="K781" s="3">
        <f t="shared" ca="1" si="85"/>
        <v>45</v>
      </c>
      <c r="L781" s="3">
        <f t="shared" ca="1" si="86"/>
        <v>0</v>
      </c>
      <c r="M781" t="str">
        <f t="shared" ca="1" si="87"/>
        <v>On Time</v>
      </c>
      <c r="N781">
        <f t="shared" si="89"/>
        <v>0</v>
      </c>
      <c r="O781" t="str" cm="1">
        <f t="array" aca="1" ref="O781" ca="1">_xlfn.IFS(
L781&lt;=0,"Not Due",
L781&lt;=30,"0–30 Days",
L781&lt;=60,"31–60 Days",
L781&lt;=90,"61–90 Days",
L781&lt;=180,"91–180 Days",
L781&lt;=365,"181–365 Days",
L781&gt;365,"365+ Days (High Risk)"
)</f>
        <v>Not Due</v>
      </c>
      <c r="P781">
        <f t="shared" si="90"/>
        <v>6564.03</v>
      </c>
      <c r="Q781" s="3">
        <f t="shared" ca="1" si="88"/>
        <v>0</v>
      </c>
    </row>
    <row r="782" spans="1:17" x14ac:dyDescent="0.25">
      <c r="A782" t="s">
        <v>786</v>
      </c>
      <c r="B782" t="s">
        <v>906</v>
      </c>
      <c r="C782" s="1">
        <v>44938</v>
      </c>
      <c r="D782" s="1">
        <v>44983</v>
      </c>
      <c r="E782">
        <v>5553.31</v>
      </c>
      <c r="F782" t="s">
        <v>913</v>
      </c>
      <c r="G782" t="s">
        <v>918</v>
      </c>
      <c r="H782" s="1">
        <v>44983</v>
      </c>
      <c r="I782" t="s">
        <v>919</v>
      </c>
      <c r="J782" t="b">
        <f t="shared" si="84"/>
        <v>0</v>
      </c>
      <c r="K782" s="3">
        <f t="shared" ca="1" si="85"/>
        <v>45</v>
      </c>
      <c r="L782" s="3">
        <f t="shared" ca="1" si="86"/>
        <v>0</v>
      </c>
      <c r="M782" t="str">
        <f t="shared" ca="1" si="87"/>
        <v>On Time</v>
      </c>
      <c r="N782">
        <f t="shared" si="89"/>
        <v>0</v>
      </c>
      <c r="O782" t="str" cm="1">
        <f t="array" aca="1" ref="O782" ca="1">_xlfn.IFS(
L782&lt;=0,"Not Due",
L782&lt;=30,"0–30 Days",
L782&lt;=60,"31–60 Days",
L782&lt;=90,"61–90 Days",
L782&lt;=180,"91–180 Days",
L782&lt;=365,"181–365 Days",
L782&gt;365,"365+ Days (High Risk)"
)</f>
        <v>Not Due</v>
      </c>
      <c r="P782">
        <f t="shared" si="90"/>
        <v>5553.31</v>
      </c>
      <c r="Q782" s="3">
        <f t="shared" ca="1" si="88"/>
        <v>0</v>
      </c>
    </row>
    <row r="783" spans="1:17" x14ac:dyDescent="0.25">
      <c r="A783" t="s">
        <v>787</v>
      </c>
      <c r="B783" t="s">
        <v>909</v>
      </c>
      <c r="C783" s="1">
        <v>45339</v>
      </c>
      <c r="D783" s="1">
        <v>45384</v>
      </c>
      <c r="E783">
        <v>1061.81</v>
      </c>
      <c r="F783" t="s">
        <v>915</v>
      </c>
      <c r="G783" t="s">
        <v>916</v>
      </c>
      <c r="I783" t="s">
        <v>919</v>
      </c>
      <c r="J783" t="b">
        <f t="shared" si="84"/>
        <v>1</v>
      </c>
      <c r="K783" s="3">
        <f t="shared" ca="1" si="85"/>
        <v>712</v>
      </c>
      <c r="L783" s="3">
        <f t="shared" ca="1" si="86"/>
        <v>667</v>
      </c>
      <c r="M783" t="str">
        <f t="shared" ca="1" si="87"/>
        <v>Overdue</v>
      </c>
      <c r="N783">
        <f t="shared" si="89"/>
        <v>1061.81</v>
      </c>
      <c r="O783" t="str" cm="1">
        <f t="array" aca="1" ref="O783" ca="1">_xlfn.IFS(
L783&lt;=0,"Not Due",
L783&lt;=30,"0–30 Days",
L783&lt;=60,"31–60 Days",
L783&lt;=90,"61–90 Days",
L783&lt;=180,"91–180 Days",
L783&lt;=365,"181–365 Days",
L783&gt;365,"365+ Days (High Risk)"
)</f>
        <v>365+ Days (High Risk)</v>
      </c>
      <c r="P783">
        <f t="shared" si="90"/>
        <v>0</v>
      </c>
      <c r="Q783" s="3">
        <f t="shared" ca="1" si="88"/>
        <v>1061.81</v>
      </c>
    </row>
    <row r="784" spans="1:17" x14ac:dyDescent="0.25">
      <c r="A784" t="s">
        <v>788</v>
      </c>
      <c r="B784" t="s">
        <v>908</v>
      </c>
      <c r="C784" s="1">
        <v>45512</v>
      </c>
      <c r="D784" s="1">
        <v>45557</v>
      </c>
      <c r="E784">
        <v>7675.26</v>
      </c>
      <c r="F784" t="s">
        <v>914</v>
      </c>
      <c r="G784" t="s">
        <v>918</v>
      </c>
      <c r="H784" s="1">
        <v>45557</v>
      </c>
      <c r="I784" t="s">
        <v>919</v>
      </c>
      <c r="J784" t="b">
        <f t="shared" si="84"/>
        <v>0</v>
      </c>
      <c r="K784" s="3">
        <f t="shared" ca="1" si="85"/>
        <v>45</v>
      </c>
      <c r="L784" s="3">
        <f t="shared" ca="1" si="86"/>
        <v>0</v>
      </c>
      <c r="M784" t="str">
        <f t="shared" ca="1" si="87"/>
        <v>On Time</v>
      </c>
      <c r="N784">
        <f t="shared" si="89"/>
        <v>0</v>
      </c>
      <c r="O784" t="str" cm="1">
        <f t="array" aca="1" ref="O784" ca="1">_xlfn.IFS(
L784&lt;=0,"Not Due",
L784&lt;=30,"0–30 Days",
L784&lt;=60,"31–60 Days",
L784&lt;=90,"61–90 Days",
L784&lt;=180,"91–180 Days",
L784&lt;=365,"181–365 Days",
L784&gt;365,"365+ Days (High Risk)"
)</f>
        <v>Not Due</v>
      </c>
      <c r="P784">
        <f t="shared" si="90"/>
        <v>7675.26</v>
      </c>
      <c r="Q784" s="3">
        <f t="shared" ca="1" si="88"/>
        <v>0</v>
      </c>
    </row>
    <row r="785" spans="1:17" x14ac:dyDescent="0.25">
      <c r="A785" t="s">
        <v>789</v>
      </c>
      <c r="B785" t="s">
        <v>908</v>
      </c>
      <c r="C785" s="1">
        <v>45633</v>
      </c>
      <c r="D785" s="1">
        <v>45678</v>
      </c>
      <c r="E785">
        <v>3464.63</v>
      </c>
      <c r="F785" t="s">
        <v>915</v>
      </c>
      <c r="G785" t="s">
        <v>917</v>
      </c>
      <c r="I785" t="s">
        <v>919</v>
      </c>
      <c r="J785" t="b">
        <f t="shared" si="84"/>
        <v>1</v>
      </c>
      <c r="K785" s="3">
        <f t="shared" ca="1" si="85"/>
        <v>418</v>
      </c>
      <c r="L785" s="3">
        <f t="shared" ca="1" si="86"/>
        <v>373</v>
      </c>
      <c r="M785" t="str">
        <f t="shared" ca="1" si="87"/>
        <v>Overdue</v>
      </c>
      <c r="N785">
        <f t="shared" si="89"/>
        <v>3464.63</v>
      </c>
      <c r="O785" t="str" cm="1">
        <f t="array" aca="1" ref="O785" ca="1">_xlfn.IFS(
L785&lt;=0,"Not Due",
L785&lt;=30,"0–30 Days",
L785&lt;=60,"31–60 Days",
L785&lt;=90,"61–90 Days",
L785&lt;=180,"91–180 Days",
L785&lt;=365,"181–365 Days",
L785&gt;365,"365+ Days (High Risk)"
)</f>
        <v>365+ Days (High Risk)</v>
      </c>
      <c r="P785">
        <f t="shared" si="90"/>
        <v>0</v>
      </c>
      <c r="Q785" s="3">
        <f t="shared" ca="1" si="88"/>
        <v>3464.63</v>
      </c>
    </row>
    <row r="786" spans="1:17" x14ac:dyDescent="0.25">
      <c r="A786" t="s">
        <v>790</v>
      </c>
      <c r="B786" t="s">
        <v>907</v>
      </c>
      <c r="C786" s="1">
        <v>45292</v>
      </c>
      <c r="D786" s="1">
        <v>45337</v>
      </c>
      <c r="E786">
        <v>3760.84</v>
      </c>
      <c r="F786" t="s">
        <v>912</v>
      </c>
      <c r="G786" t="s">
        <v>918</v>
      </c>
      <c r="H786" s="1">
        <v>45337</v>
      </c>
      <c r="I786" t="s">
        <v>919</v>
      </c>
      <c r="J786" t="b">
        <f t="shared" si="84"/>
        <v>0</v>
      </c>
      <c r="K786" s="3">
        <f t="shared" ca="1" si="85"/>
        <v>45</v>
      </c>
      <c r="L786" s="3">
        <f t="shared" ca="1" si="86"/>
        <v>0</v>
      </c>
      <c r="M786" t="str">
        <f t="shared" ca="1" si="87"/>
        <v>On Time</v>
      </c>
      <c r="N786">
        <f t="shared" si="89"/>
        <v>0</v>
      </c>
      <c r="O786" t="str" cm="1">
        <f t="array" aca="1" ref="O786" ca="1">_xlfn.IFS(
L786&lt;=0,"Not Due",
L786&lt;=30,"0–30 Days",
L786&lt;=60,"31–60 Days",
L786&lt;=90,"61–90 Days",
L786&lt;=180,"91–180 Days",
L786&lt;=365,"181–365 Days",
L786&gt;365,"365+ Days (High Risk)"
)</f>
        <v>Not Due</v>
      </c>
      <c r="P786">
        <f t="shared" si="90"/>
        <v>3760.84</v>
      </c>
      <c r="Q786" s="3">
        <f t="shared" ca="1" si="88"/>
        <v>0</v>
      </c>
    </row>
    <row r="787" spans="1:17" x14ac:dyDescent="0.25">
      <c r="A787" t="s">
        <v>791</v>
      </c>
      <c r="B787" t="s">
        <v>910</v>
      </c>
      <c r="C787" s="1">
        <v>44985</v>
      </c>
      <c r="D787" s="1">
        <v>45030</v>
      </c>
      <c r="E787">
        <v>3807.09</v>
      </c>
      <c r="F787" t="s">
        <v>911</v>
      </c>
      <c r="G787" t="s">
        <v>918</v>
      </c>
      <c r="H787" s="1">
        <v>45030</v>
      </c>
      <c r="I787" t="s">
        <v>919</v>
      </c>
      <c r="J787" t="b">
        <f t="shared" si="84"/>
        <v>0</v>
      </c>
      <c r="K787" s="3">
        <f t="shared" ca="1" si="85"/>
        <v>45</v>
      </c>
      <c r="L787" s="3">
        <f t="shared" ca="1" si="86"/>
        <v>0</v>
      </c>
      <c r="M787" t="str">
        <f t="shared" ca="1" si="87"/>
        <v>On Time</v>
      </c>
      <c r="N787">
        <f t="shared" si="89"/>
        <v>0</v>
      </c>
      <c r="O787" t="str" cm="1">
        <f t="array" aca="1" ref="O787" ca="1">_xlfn.IFS(
L787&lt;=0,"Not Due",
L787&lt;=30,"0–30 Days",
L787&lt;=60,"31–60 Days",
L787&lt;=90,"61–90 Days",
L787&lt;=180,"91–180 Days",
L787&lt;=365,"181–365 Days",
L787&gt;365,"365+ Days (High Risk)"
)</f>
        <v>Not Due</v>
      </c>
      <c r="P787">
        <f t="shared" si="90"/>
        <v>3807.09</v>
      </c>
      <c r="Q787" s="3">
        <f t="shared" ca="1" si="88"/>
        <v>0</v>
      </c>
    </row>
    <row r="788" spans="1:17" x14ac:dyDescent="0.25">
      <c r="A788" t="s">
        <v>792</v>
      </c>
      <c r="B788" t="s">
        <v>907</v>
      </c>
      <c r="C788" s="1">
        <v>45596</v>
      </c>
      <c r="D788" s="1">
        <v>45641</v>
      </c>
      <c r="E788">
        <v>686.86</v>
      </c>
      <c r="F788" t="s">
        <v>913</v>
      </c>
      <c r="G788" t="s">
        <v>916</v>
      </c>
      <c r="I788" t="s">
        <v>919</v>
      </c>
      <c r="J788" t="b">
        <f t="shared" si="84"/>
        <v>1</v>
      </c>
      <c r="K788" s="3">
        <f t="shared" ca="1" si="85"/>
        <v>455</v>
      </c>
      <c r="L788" s="3">
        <f t="shared" ca="1" si="86"/>
        <v>410</v>
      </c>
      <c r="M788" t="str">
        <f t="shared" ca="1" si="87"/>
        <v>Overdue</v>
      </c>
      <c r="N788">
        <f t="shared" si="89"/>
        <v>686.86</v>
      </c>
      <c r="O788" t="str" cm="1">
        <f t="array" aca="1" ref="O788" ca="1">_xlfn.IFS(
L788&lt;=0,"Not Due",
L788&lt;=30,"0–30 Days",
L788&lt;=60,"31–60 Days",
L788&lt;=90,"61–90 Days",
L788&lt;=180,"91–180 Days",
L788&lt;=365,"181–365 Days",
L788&gt;365,"365+ Days (High Risk)"
)</f>
        <v>365+ Days (High Risk)</v>
      </c>
      <c r="P788">
        <f t="shared" si="90"/>
        <v>0</v>
      </c>
      <c r="Q788" s="3">
        <f t="shared" ca="1" si="88"/>
        <v>686.86</v>
      </c>
    </row>
    <row r="789" spans="1:17" x14ac:dyDescent="0.25">
      <c r="A789" t="s">
        <v>793</v>
      </c>
      <c r="B789" t="s">
        <v>907</v>
      </c>
      <c r="C789" s="1">
        <v>45630</v>
      </c>
      <c r="D789" s="1">
        <v>45675</v>
      </c>
      <c r="E789">
        <v>6790.46</v>
      </c>
      <c r="F789" t="s">
        <v>914</v>
      </c>
      <c r="G789" t="s">
        <v>918</v>
      </c>
      <c r="H789" s="1">
        <v>45675</v>
      </c>
      <c r="I789" t="s">
        <v>919</v>
      </c>
      <c r="J789" t="b">
        <f t="shared" si="84"/>
        <v>0</v>
      </c>
      <c r="K789" s="3">
        <f t="shared" ca="1" si="85"/>
        <v>45</v>
      </c>
      <c r="L789" s="3">
        <f t="shared" ca="1" si="86"/>
        <v>0</v>
      </c>
      <c r="M789" t="str">
        <f t="shared" ca="1" si="87"/>
        <v>On Time</v>
      </c>
      <c r="N789">
        <f t="shared" si="89"/>
        <v>0</v>
      </c>
      <c r="O789" t="str" cm="1">
        <f t="array" aca="1" ref="O789" ca="1">_xlfn.IFS(
L789&lt;=0,"Not Due",
L789&lt;=30,"0–30 Days",
L789&lt;=60,"31–60 Days",
L789&lt;=90,"61–90 Days",
L789&lt;=180,"91–180 Days",
L789&lt;=365,"181–365 Days",
L789&gt;365,"365+ Days (High Risk)"
)</f>
        <v>Not Due</v>
      </c>
      <c r="P789">
        <f t="shared" si="90"/>
        <v>6790.46</v>
      </c>
      <c r="Q789" s="3">
        <f t="shared" ca="1" si="88"/>
        <v>0</v>
      </c>
    </row>
    <row r="790" spans="1:17" x14ac:dyDescent="0.25">
      <c r="A790" t="s">
        <v>794</v>
      </c>
      <c r="B790" t="s">
        <v>908</v>
      </c>
      <c r="C790" s="1">
        <v>45453</v>
      </c>
      <c r="D790" s="1">
        <v>45498</v>
      </c>
      <c r="E790">
        <v>7091.17</v>
      </c>
      <c r="F790" t="s">
        <v>915</v>
      </c>
      <c r="G790" t="s">
        <v>917</v>
      </c>
      <c r="I790" t="s">
        <v>919</v>
      </c>
      <c r="J790" t="b">
        <f t="shared" si="84"/>
        <v>1</v>
      </c>
      <c r="K790" s="3">
        <f t="shared" ca="1" si="85"/>
        <v>598</v>
      </c>
      <c r="L790" s="3">
        <f t="shared" ca="1" si="86"/>
        <v>553</v>
      </c>
      <c r="M790" t="str">
        <f t="shared" ca="1" si="87"/>
        <v>Overdue</v>
      </c>
      <c r="N790">
        <f t="shared" si="89"/>
        <v>7091.17</v>
      </c>
      <c r="O790" t="str" cm="1">
        <f t="array" aca="1" ref="O790" ca="1">_xlfn.IFS(
L790&lt;=0,"Not Due",
L790&lt;=30,"0–30 Days",
L790&lt;=60,"31–60 Days",
L790&lt;=90,"61–90 Days",
L790&lt;=180,"91–180 Days",
L790&lt;=365,"181–365 Days",
L790&gt;365,"365+ Days (High Risk)"
)</f>
        <v>365+ Days (High Risk)</v>
      </c>
      <c r="P790">
        <f t="shared" si="90"/>
        <v>0</v>
      </c>
      <c r="Q790" s="3">
        <f t="shared" ca="1" si="88"/>
        <v>7091.17</v>
      </c>
    </row>
    <row r="791" spans="1:17" x14ac:dyDescent="0.25">
      <c r="A791" t="s">
        <v>795</v>
      </c>
      <c r="B791" t="s">
        <v>910</v>
      </c>
      <c r="C791" s="1">
        <v>45405</v>
      </c>
      <c r="D791" s="1">
        <v>45450</v>
      </c>
      <c r="E791">
        <v>7699.12</v>
      </c>
      <c r="F791" t="s">
        <v>911</v>
      </c>
      <c r="G791" t="s">
        <v>916</v>
      </c>
      <c r="I791" t="s">
        <v>919</v>
      </c>
      <c r="J791" t="b">
        <f t="shared" si="84"/>
        <v>1</v>
      </c>
      <c r="K791" s="3">
        <f t="shared" ca="1" si="85"/>
        <v>646</v>
      </c>
      <c r="L791" s="3">
        <f t="shared" ca="1" si="86"/>
        <v>601</v>
      </c>
      <c r="M791" t="str">
        <f t="shared" ca="1" si="87"/>
        <v>Overdue</v>
      </c>
      <c r="N791">
        <f t="shared" si="89"/>
        <v>7699.12</v>
      </c>
      <c r="O791" t="str" cm="1">
        <f t="array" aca="1" ref="O791" ca="1">_xlfn.IFS(
L791&lt;=0,"Not Due",
L791&lt;=30,"0–30 Days",
L791&lt;=60,"31–60 Days",
L791&lt;=90,"61–90 Days",
L791&lt;=180,"91–180 Days",
L791&lt;=365,"181–365 Days",
L791&gt;365,"365+ Days (High Risk)"
)</f>
        <v>365+ Days (High Risk)</v>
      </c>
      <c r="P791">
        <f t="shared" si="90"/>
        <v>0</v>
      </c>
      <c r="Q791" s="3">
        <f t="shared" ca="1" si="88"/>
        <v>7699.12</v>
      </c>
    </row>
    <row r="792" spans="1:17" x14ac:dyDescent="0.25">
      <c r="A792" t="s">
        <v>796</v>
      </c>
      <c r="B792" t="s">
        <v>910</v>
      </c>
      <c r="C792" s="1">
        <v>45744</v>
      </c>
      <c r="D792" s="1">
        <v>45789</v>
      </c>
      <c r="E792">
        <v>5087.32</v>
      </c>
      <c r="F792" t="s">
        <v>913</v>
      </c>
      <c r="G792" t="s">
        <v>918</v>
      </c>
      <c r="H792" s="1">
        <v>45789</v>
      </c>
      <c r="I792" t="s">
        <v>919</v>
      </c>
      <c r="J792" t="b">
        <f t="shared" si="84"/>
        <v>0</v>
      </c>
      <c r="K792" s="3">
        <f t="shared" ca="1" si="85"/>
        <v>45</v>
      </c>
      <c r="L792" s="3">
        <f t="shared" ca="1" si="86"/>
        <v>0</v>
      </c>
      <c r="M792" t="str">
        <f t="shared" ca="1" si="87"/>
        <v>On Time</v>
      </c>
      <c r="N792">
        <f t="shared" si="89"/>
        <v>0</v>
      </c>
      <c r="O792" t="str" cm="1">
        <f t="array" aca="1" ref="O792" ca="1">_xlfn.IFS(
L792&lt;=0,"Not Due",
L792&lt;=30,"0–30 Days",
L792&lt;=60,"31–60 Days",
L792&lt;=90,"61–90 Days",
L792&lt;=180,"91–180 Days",
L792&lt;=365,"181–365 Days",
L792&gt;365,"365+ Days (High Risk)"
)</f>
        <v>Not Due</v>
      </c>
      <c r="P792">
        <f t="shared" si="90"/>
        <v>5087.32</v>
      </c>
      <c r="Q792" s="3">
        <f t="shared" ca="1" si="88"/>
        <v>0</v>
      </c>
    </row>
    <row r="793" spans="1:17" x14ac:dyDescent="0.25">
      <c r="A793" t="s">
        <v>797</v>
      </c>
      <c r="B793" t="s">
        <v>908</v>
      </c>
      <c r="C793" s="1">
        <v>45010</v>
      </c>
      <c r="D793" s="1">
        <v>45055</v>
      </c>
      <c r="E793">
        <v>2075.5</v>
      </c>
      <c r="F793" t="s">
        <v>913</v>
      </c>
      <c r="G793" t="s">
        <v>916</v>
      </c>
      <c r="I793" t="s">
        <v>919</v>
      </c>
      <c r="J793" t="b">
        <f t="shared" si="84"/>
        <v>1</v>
      </c>
      <c r="K793" s="3">
        <f t="shared" ca="1" si="85"/>
        <v>1041</v>
      </c>
      <c r="L793" s="3">
        <f t="shared" ca="1" si="86"/>
        <v>996</v>
      </c>
      <c r="M793" t="str">
        <f t="shared" ca="1" si="87"/>
        <v>Overdue</v>
      </c>
      <c r="N793">
        <f t="shared" si="89"/>
        <v>2075.5</v>
      </c>
      <c r="O793" t="str" cm="1">
        <f t="array" aca="1" ref="O793" ca="1">_xlfn.IFS(
L793&lt;=0,"Not Due",
L793&lt;=30,"0–30 Days",
L793&lt;=60,"31–60 Days",
L793&lt;=90,"61–90 Days",
L793&lt;=180,"91–180 Days",
L793&lt;=365,"181–365 Days",
L793&gt;365,"365+ Days (High Risk)"
)</f>
        <v>365+ Days (High Risk)</v>
      </c>
      <c r="P793">
        <f t="shared" si="90"/>
        <v>0</v>
      </c>
      <c r="Q793" s="3">
        <f t="shared" ca="1" si="88"/>
        <v>2075.5</v>
      </c>
    </row>
    <row r="794" spans="1:17" x14ac:dyDescent="0.25">
      <c r="A794" t="s">
        <v>798</v>
      </c>
      <c r="B794" t="s">
        <v>908</v>
      </c>
      <c r="C794" s="1">
        <v>45475</v>
      </c>
      <c r="D794" s="1">
        <v>45520</v>
      </c>
      <c r="E794">
        <v>1547.05</v>
      </c>
      <c r="F794" t="s">
        <v>914</v>
      </c>
      <c r="G794" t="s">
        <v>917</v>
      </c>
      <c r="I794" t="s">
        <v>919</v>
      </c>
      <c r="J794" t="b">
        <f t="shared" si="84"/>
        <v>1</v>
      </c>
      <c r="K794" s="3">
        <f t="shared" ca="1" si="85"/>
        <v>576</v>
      </c>
      <c r="L794" s="3">
        <f t="shared" ca="1" si="86"/>
        <v>531</v>
      </c>
      <c r="M794" t="str">
        <f t="shared" ca="1" si="87"/>
        <v>Overdue</v>
      </c>
      <c r="N794">
        <f t="shared" si="89"/>
        <v>1547.05</v>
      </c>
      <c r="O794" t="str" cm="1">
        <f t="array" aca="1" ref="O794" ca="1">_xlfn.IFS(
L794&lt;=0,"Not Due",
L794&lt;=30,"0–30 Days",
L794&lt;=60,"31–60 Days",
L794&lt;=90,"61–90 Days",
L794&lt;=180,"91–180 Days",
L794&lt;=365,"181–365 Days",
L794&gt;365,"365+ Days (High Risk)"
)</f>
        <v>365+ Days (High Risk)</v>
      </c>
      <c r="P794">
        <f t="shared" si="90"/>
        <v>0</v>
      </c>
      <c r="Q794" s="3">
        <f t="shared" ca="1" si="88"/>
        <v>1547.05</v>
      </c>
    </row>
    <row r="795" spans="1:17" x14ac:dyDescent="0.25">
      <c r="A795" t="s">
        <v>799</v>
      </c>
      <c r="B795" t="s">
        <v>908</v>
      </c>
      <c r="C795" s="1">
        <v>45767</v>
      </c>
      <c r="D795" s="1">
        <v>45812</v>
      </c>
      <c r="E795">
        <v>200.4</v>
      </c>
      <c r="F795" t="s">
        <v>912</v>
      </c>
      <c r="G795" t="s">
        <v>916</v>
      </c>
      <c r="I795" t="s">
        <v>919</v>
      </c>
      <c r="J795" t="b">
        <f t="shared" si="84"/>
        <v>1</v>
      </c>
      <c r="K795" s="3">
        <f t="shared" ca="1" si="85"/>
        <v>284</v>
      </c>
      <c r="L795" s="3">
        <f t="shared" ca="1" si="86"/>
        <v>239</v>
      </c>
      <c r="M795" t="str">
        <f t="shared" ca="1" si="87"/>
        <v>Overdue</v>
      </c>
      <c r="N795">
        <f t="shared" si="89"/>
        <v>200.4</v>
      </c>
      <c r="O795" t="str" cm="1">
        <f t="array" aca="1" ref="O795" ca="1">_xlfn.IFS(
L795&lt;=0,"Not Due",
L795&lt;=30,"0–30 Days",
L795&lt;=60,"31–60 Days",
L795&lt;=90,"61–90 Days",
L795&lt;=180,"91–180 Days",
L795&lt;=365,"181–365 Days",
L795&gt;365,"365+ Days (High Risk)"
)</f>
        <v>181–365 Days</v>
      </c>
      <c r="P795">
        <f t="shared" si="90"/>
        <v>0</v>
      </c>
      <c r="Q795" s="3">
        <f t="shared" ca="1" si="88"/>
        <v>200.4</v>
      </c>
    </row>
    <row r="796" spans="1:17" x14ac:dyDescent="0.25">
      <c r="A796" t="s">
        <v>800</v>
      </c>
      <c r="B796" t="s">
        <v>909</v>
      </c>
      <c r="C796" s="1">
        <v>45161</v>
      </c>
      <c r="D796" s="1">
        <v>45206</v>
      </c>
      <c r="E796">
        <v>1095.1199999999999</v>
      </c>
      <c r="F796" t="s">
        <v>911</v>
      </c>
      <c r="G796" t="s">
        <v>916</v>
      </c>
      <c r="I796" t="s">
        <v>919</v>
      </c>
      <c r="J796" t="b">
        <f t="shared" si="84"/>
        <v>1</v>
      </c>
      <c r="K796" s="3">
        <f t="shared" ca="1" si="85"/>
        <v>890</v>
      </c>
      <c r="L796" s="3">
        <f t="shared" ca="1" si="86"/>
        <v>845</v>
      </c>
      <c r="M796" t="str">
        <f t="shared" ca="1" si="87"/>
        <v>Overdue</v>
      </c>
      <c r="N796">
        <f t="shared" si="89"/>
        <v>1095.1199999999999</v>
      </c>
      <c r="O796" t="str" cm="1">
        <f t="array" aca="1" ref="O796" ca="1">_xlfn.IFS(
L796&lt;=0,"Not Due",
L796&lt;=30,"0–30 Days",
L796&lt;=60,"31–60 Days",
L796&lt;=90,"61–90 Days",
L796&lt;=180,"91–180 Days",
L796&lt;=365,"181–365 Days",
L796&gt;365,"365+ Days (High Risk)"
)</f>
        <v>365+ Days (High Risk)</v>
      </c>
      <c r="P796">
        <f t="shared" si="90"/>
        <v>0</v>
      </c>
      <c r="Q796" s="3">
        <f t="shared" ca="1" si="88"/>
        <v>1095.1199999999999</v>
      </c>
    </row>
    <row r="797" spans="1:17" x14ac:dyDescent="0.25">
      <c r="A797" t="s">
        <v>801</v>
      </c>
      <c r="B797" t="s">
        <v>906</v>
      </c>
      <c r="C797" s="1">
        <v>44972</v>
      </c>
      <c r="D797" s="1">
        <v>45017</v>
      </c>
      <c r="E797">
        <v>674.83</v>
      </c>
      <c r="F797" t="s">
        <v>915</v>
      </c>
      <c r="G797" t="s">
        <v>917</v>
      </c>
      <c r="I797" t="s">
        <v>919</v>
      </c>
      <c r="J797" t="b">
        <f t="shared" si="84"/>
        <v>1</v>
      </c>
      <c r="K797" s="3">
        <f t="shared" ca="1" si="85"/>
        <v>1079</v>
      </c>
      <c r="L797" s="3">
        <f t="shared" ca="1" si="86"/>
        <v>1034</v>
      </c>
      <c r="M797" t="str">
        <f t="shared" ca="1" si="87"/>
        <v>Overdue</v>
      </c>
      <c r="N797">
        <f t="shared" si="89"/>
        <v>674.83</v>
      </c>
      <c r="O797" t="str" cm="1">
        <f t="array" aca="1" ref="O797" ca="1">_xlfn.IFS(
L797&lt;=0,"Not Due",
L797&lt;=30,"0–30 Days",
L797&lt;=60,"31–60 Days",
L797&lt;=90,"61–90 Days",
L797&lt;=180,"91–180 Days",
L797&lt;=365,"181–365 Days",
L797&gt;365,"365+ Days (High Risk)"
)</f>
        <v>365+ Days (High Risk)</v>
      </c>
      <c r="P797">
        <f t="shared" si="90"/>
        <v>0</v>
      </c>
      <c r="Q797" s="3">
        <f t="shared" ca="1" si="88"/>
        <v>674.83</v>
      </c>
    </row>
    <row r="798" spans="1:17" x14ac:dyDescent="0.25">
      <c r="A798" t="s">
        <v>802</v>
      </c>
      <c r="B798" t="s">
        <v>909</v>
      </c>
      <c r="C798" s="1">
        <v>45580</v>
      </c>
      <c r="D798" s="1">
        <v>45625</v>
      </c>
      <c r="E798">
        <v>631.80999999999995</v>
      </c>
      <c r="F798" t="s">
        <v>914</v>
      </c>
      <c r="G798" t="s">
        <v>916</v>
      </c>
      <c r="I798" t="s">
        <v>919</v>
      </c>
      <c r="J798" t="b">
        <f t="shared" si="84"/>
        <v>1</v>
      </c>
      <c r="K798" s="3">
        <f t="shared" ca="1" si="85"/>
        <v>471</v>
      </c>
      <c r="L798" s="3">
        <f t="shared" ca="1" si="86"/>
        <v>426</v>
      </c>
      <c r="M798" t="str">
        <f t="shared" ca="1" si="87"/>
        <v>Overdue</v>
      </c>
      <c r="N798">
        <f t="shared" si="89"/>
        <v>631.80999999999995</v>
      </c>
      <c r="O798" t="str" cm="1">
        <f t="array" aca="1" ref="O798" ca="1">_xlfn.IFS(
L798&lt;=0,"Not Due",
L798&lt;=30,"0–30 Days",
L798&lt;=60,"31–60 Days",
L798&lt;=90,"61–90 Days",
L798&lt;=180,"91–180 Days",
L798&lt;=365,"181–365 Days",
L798&gt;365,"365+ Days (High Risk)"
)</f>
        <v>365+ Days (High Risk)</v>
      </c>
      <c r="P798">
        <f t="shared" si="90"/>
        <v>0</v>
      </c>
      <c r="Q798" s="3">
        <f t="shared" ca="1" si="88"/>
        <v>631.80999999999995</v>
      </c>
    </row>
    <row r="799" spans="1:17" x14ac:dyDescent="0.25">
      <c r="A799" t="s">
        <v>803</v>
      </c>
      <c r="B799" t="s">
        <v>909</v>
      </c>
      <c r="C799" s="1">
        <v>45208</v>
      </c>
      <c r="D799" s="1">
        <v>45253</v>
      </c>
      <c r="E799">
        <v>6298.56</v>
      </c>
      <c r="F799" t="s">
        <v>913</v>
      </c>
      <c r="G799" t="s">
        <v>917</v>
      </c>
      <c r="I799" t="s">
        <v>919</v>
      </c>
      <c r="J799" t="b">
        <f t="shared" si="84"/>
        <v>1</v>
      </c>
      <c r="K799" s="3">
        <f t="shared" ca="1" si="85"/>
        <v>843</v>
      </c>
      <c r="L799" s="3">
        <f t="shared" ca="1" si="86"/>
        <v>798</v>
      </c>
      <c r="M799" t="str">
        <f t="shared" ca="1" si="87"/>
        <v>Overdue</v>
      </c>
      <c r="N799">
        <f t="shared" si="89"/>
        <v>6298.56</v>
      </c>
      <c r="O799" t="str" cm="1">
        <f t="array" aca="1" ref="O799" ca="1">_xlfn.IFS(
L799&lt;=0,"Not Due",
L799&lt;=30,"0–30 Days",
L799&lt;=60,"31–60 Days",
L799&lt;=90,"61–90 Days",
L799&lt;=180,"91–180 Days",
L799&lt;=365,"181–365 Days",
L799&gt;365,"365+ Days (High Risk)"
)</f>
        <v>365+ Days (High Risk)</v>
      </c>
      <c r="P799">
        <f t="shared" si="90"/>
        <v>0</v>
      </c>
      <c r="Q799" s="3">
        <f t="shared" ca="1" si="88"/>
        <v>6298.56</v>
      </c>
    </row>
    <row r="800" spans="1:17" x14ac:dyDescent="0.25">
      <c r="A800" t="s">
        <v>804</v>
      </c>
      <c r="B800" t="s">
        <v>908</v>
      </c>
      <c r="C800" s="1">
        <v>45346</v>
      </c>
      <c r="D800" s="1">
        <v>45391</v>
      </c>
      <c r="E800">
        <v>340.12</v>
      </c>
      <c r="F800" t="s">
        <v>914</v>
      </c>
      <c r="G800" t="s">
        <v>916</v>
      </c>
      <c r="I800" t="s">
        <v>919</v>
      </c>
      <c r="J800" t="b">
        <f t="shared" si="84"/>
        <v>1</v>
      </c>
      <c r="K800" s="3">
        <f t="shared" ca="1" si="85"/>
        <v>705</v>
      </c>
      <c r="L800" s="3">
        <f t="shared" ca="1" si="86"/>
        <v>660</v>
      </c>
      <c r="M800" t="str">
        <f t="shared" ca="1" si="87"/>
        <v>Overdue</v>
      </c>
      <c r="N800">
        <f t="shared" si="89"/>
        <v>340.12</v>
      </c>
      <c r="O800" t="str" cm="1">
        <f t="array" aca="1" ref="O800" ca="1">_xlfn.IFS(
L800&lt;=0,"Not Due",
L800&lt;=30,"0–30 Days",
L800&lt;=60,"31–60 Days",
L800&lt;=90,"61–90 Days",
L800&lt;=180,"91–180 Days",
L800&lt;=365,"181–365 Days",
L800&gt;365,"365+ Days (High Risk)"
)</f>
        <v>365+ Days (High Risk)</v>
      </c>
      <c r="P800">
        <f t="shared" si="90"/>
        <v>0</v>
      </c>
      <c r="Q800" s="3">
        <f t="shared" ca="1" si="88"/>
        <v>340.12</v>
      </c>
    </row>
    <row r="801" spans="1:17" x14ac:dyDescent="0.25">
      <c r="A801" t="s">
        <v>805</v>
      </c>
      <c r="B801" t="s">
        <v>907</v>
      </c>
      <c r="C801" s="1">
        <v>44993</v>
      </c>
      <c r="D801" s="1">
        <v>45038</v>
      </c>
      <c r="E801">
        <v>3782.01</v>
      </c>
      <c r="F801" t="s">
        <v>913</v>
      </c>
      <c r="G801" t="s">
        <v>917</v>
      </c>
      <c r="I801" t="s">
        <v>919</v>
      </c>
      <c r="J801" t="b">
        <f t="shared" si="84"/>
        <v>1</v>
      </c>
      <c r="K801" s="3">
        <f t="shared" ca="1" si="85"/>
        <v>1058</v>
      </c>
      <c r="L801" s="3">
        <f t="shared" ca="1" si="86"/>
        <v>1013</v>
      </c>
      <c r="M801" t="str">
        <f t="shared" ca="1" si="87"/>
        <v>Overdue</v>
      </c>
      <c r="N801">
        <f t="shared" si="89"/>
        <v>3782.01</v>
      </c>
      <c r="O801" t="str" cm="1">
        <f t="array" aca="1" ref="O801" ca="1">_xlfn.IFS(
L801&lt;=0,"Not Due",
L801&lt;=30,"0–30 Days",
L801&lt;=60,"31–60 Days",
L801&lt;=90,"61–90 Days",
L801&lt;=180,"91–180 Days",
L801&lt;=365,"181–365 Days",
L801&gt;365,"365+ Days (High Risk)"
)</f>
        <v>365+ Days (High Risk)</v>
      </c>
      <c r="P801">
        <f t="shared" si="90"/>
        <v>0</v>
      </c>
      <c r="Q801" s="3">
        <f t="shared" ca="1" si="88"/>
        <v>3782.01</v>
      </c>
    </row>
    <row r="802" spans="1:17" x14ac:dyDescent="0.25">
      <c r="A802" t="s">
        <v>806</v>
      </c>
      <c r="B802" t="s">
        <v>909</v>
      </c>
      <c r="C802" s="1">
        <v>45300</v>
      </c>
      <c r="D802" s="1">
        <v>45345</v>
      </c>
      <c r="E802">
        <v>1451.63</v>
      </c>
      <c r="F802" t="s">
        <v>912</v>
      </c>
      <c r="G802" t="s">
        <v>918</v>
      </c>
      <c r="H802" s="1">
        <v>45345</v>
      </c>
      <c r="I802" t="s">
        <v>919</v>
      </c>
      <c r="J802" t="b">
        <f t="shared" si="84"/>
        <v>0</v>
      </c>
      <c r="K802" s="3">
        <f t="shared" ca="1" si="85"/>
        <v>45</v>
      </c>
      <c r="L802" s="3">
        <f t="shared" ca="1" si="86"/>
        <v>0</v>
      </c>
      <c r="M802" t="str">
        <f t="shared" ca="1" si="87"/>
        <v>On Time</v>
      </c>
      <c r="N802">
        <f t="shared" si="89"/>
        <v>0</v>
      </c>
      <c r="O802" t="str" cm="1">
        <f t="array" aca="1" ref="O802" ca="1">_xlfn.IFS(
L802&lt;=0,"Not Due",
L802&lt;=30,"0–30 Days",
L802&lt;=60,"31–60 Days",
L802&lt;=90,"61–90 Days",
L802&lt;=180,"91–180 Days",
L802&lt;=365,"181–365 Days",
L802&gt;365,"365+ Days (High Risk)"
)</f>
        <v>Not Due</v>
      </c>
      <c r="P802">
        <f t="shared" si="90"/>
        <v>1451.63</v>
      </c>
      <c r="Q802" s="3">
        <f t="shared" ca="1" si="88"/>
        <v>0</v>
      </c>
    </row>
    <row r="803" spans="1:17" x14ac:dyDescent="0.25">
      <c r="A803" t="s">
        <v>807</v>
      </c>
      <c r="B803" t="s">
        <v>908</v>
      </c>
      <c r="C803" s="1">
        <v>45011</v>
      </c>
      <c r="D803" s="1">
        <v>45056</v>
      </c>
      <c r="E803">
        <v>1981.05</v>
      </c>
      <c r="F803" t="s">
        <v>914</v>
      </c>
      <c r="G803" t="s">
        <v>918</v>
      </c>
      <c r="H803" s="1">
        <v>45056</v>
      </c>
      <c r="I803" t="s">
        <v>919</v>
      </c>
      <c r="J803" t="b">
        <f t="shared" si="84"/>
        <v>0</v>
      </c>
      <c r="K803" s="3">
        <f t="shared" ca="1" si="85"/>
        <v>45</v>
      </c>
      <c r="L803" s="3">
        <f t="shared" ca="1" si="86"/>
        <v>0</v>
      </c>
      <c r="M803" t="str">
        <f t="shared" ca="1" si="87"/>
        <v>On Time</v>
      </c>
      <c r="N803">
        <f t="shared" si="89"/>
        <v>0</v>
      </c>
      <c r="O803" t="str" cm="1">
        <f t="array" aca="1" ref="O803" ca="1">_xlfn.IFS(
L803&lt;=0,"Not Due",
L803&lt;=30,"0–30 Days",
L803&lt;=60,"31–60 Days",
L803&lt;=90,"61–90 Days",
L803&lt;=180,"91–180 Days",
L803&lt;=365,"181–365 Days",
L803&gt;365,"365+ Days (High Risk)"
)</f>
        <v>Not Due</v>
      </c>
      <c r="P803">
        <f t="shared" si="90"/>
        <v>1981.05</v>
      </c>
      <c r="Q803" s="3">
        <f t="shared" ca="1" si="88"/>
        <v>0</v>
      </c>
    </row>
    <row r="804" spans="1:17" x14ac:dyDescent="0.25">
      <c r="A804" t="s">
        <v>808</v>
      </c>
      <c r="B804" t="s">
        <v>908</v>
      </c>
      <c r="C804" s="1">
        <v>45021</v>
      </c>
      <c r="D804" s="1">
        <v>45066</v>
      </c>
      <c r="E804">
        <v>2705.53</v>
      </c>
      <c r="F804" t="s">
        <v>914</v>
      </c>
      <c r="G804" t="s">
        <v>916</v>
      </c>
      <c r="I804" t="s">
        <v>919</v>
      </c>
      <c r="J804" t="b">
        <f t="shared" si="84"/>
        <v>1</v>
      </c>
      <c r="K804" s="3">
        <f t="shared" ca="1" si="85"/>
        <v>1030</v>
      </c>
      <c r="L804" s="3">
        <f t="shared" ca="1" si="86"/>
        <v>985</v>
      </c>
      <c r="M804" t="str">
        <f t="shared" ca="1" si="87"/>
        <v>Overdue</v>
      </c>
      <c r="N804">
        <f t="shared" si="89"/>
        <v>2705.53</v>
      </c>
      <c r="O804" t="str" cm="1">
        <f t="array" aca="1" ref="O804" ca="1">_xlfn.IFS(
L804&lt;=0,"Not Due",
L804&lt;=30,"0–30 Days",
L804&lt;=60,"31–60 Days",
L804&lt;=90,"61–90 Days",
L804&lt;=180,"91–180 Days",
L804&lt;=365,"181–365 Days",
L804&gt;365,"365+ Days (High Risk)"
)</f>
        <v>365+ Days (High Risk)</v>
      </c>
      <c r="P804">
        <f t="shared" si="90"/>
        <v>0</v>
      </c>
      <c r="Q804" s="3">
        <f t="shared" ca="1" si="88"/>
        <v>2705.53</v>
      </c>
    </row>
    <row r="805" spans="1:17" x14ac:dyDescent="0.25">
      <c r="A805" t="s">
        <v>809</v>
      </c>
      <c r="B805" t="s">
        <v>907</v>
      </c>
      <c r="C805" s="1">
        <v>44979</v>
      </c>
      <c r="D805" s="1">
        <v>45024</v>
      </c>
      <c r="E805">
        <v>3205.57</v>
      </c>
      <c r="F805" t="s">
        <v>911</v>
      </c>
      <c r="G805" t="s">
        <v>918</v>
      </c>
      <c r="H805" s="1">
        <v>45024</v>
      </c>
      <c r="I805" t="s">
        <v>919</v>
      </c>
      <c r="J805" t="b">
        <f t="shared" si="84"/>
        <v>0</v>
      </c>
      <c r="K805" s="3">
        <f t="shared" ca="1" si="85"/>
        <v>45</v>
      </c>
      <c r="L805" s="3">
        <f t="shared" ca="1" si="86"/>
        <v>0</v>
      </c>
      <c r="M805" t="str">
        <f t="shared" ca="1" si="87"/>
        <v>On Time</v>
      </c>
      <c r="N805">
        <f t="shared" si="89"/>
        <v>0</v>
      </c>
      <c r="O805" t="str" cm="1">
        <f t="array" aca="1" ref="O805" ca="1">_xlfn.IFS(
L805&lt;=0,"Not Due",
L805&lt;=30,"0–30 Days",
L805&lt;=60,"31–60 Days",
L805&lt;=90,"61–90 Days",
L805&lt;=180,"91–180 Days",
L805&lt;=365,"181–365 Days",
L805&gt;365,"365+ Days (High Risk)"
)</f>
        <v>Not Due</v>
      </c>
      <c r="P805">
        <f t="shared" si="90"/>
        <v>3205.57</v>
      </c>
      <c r="Q805" s="3">
        <f t="shared" ca="1" si="88"/>
        <v>0</v>
      </c>
    </row>
    <row r="806" spans="1:17" x14ac:dyDescent="0.25">
      <c r="A806" t="s">
        <v>810</v>
      </c>
      <c r="B806" t="s">
        <v>908</v>
      </c>
      <c r="C806" s="1">
        <v>45754</v>
      </c>
      <c r="D806" s="1">
        <v>45799</v>
      </c>
      <c r="E806">
        <v>1545.02</v>
      </c>
      <c r="F806" t="s">
        <v>911</v>
      </c>
      <c r="G806" t="s">
        <v>916</v>
      </c>
      <c r="I806" t="s">
        <v>919</v>
      </c>
      <c r="J806" t="b">
        <f t="shared" si="84"/>
        <v>1</v>
      </c>
      <c r="K806" s="3">
        <f t="shared" ca="1" si="85"/>
        <v>297</v>
      </c>
      <c r="L806" s="3">
        <f t="shared" ca="1" si="86"/>
        <v>252</v>
      </c>
      <c r="M806" t="str">
        <f t="shared" ca="1" si="87"/>
        <v>Overdue</v>
      </c>
      <c r="N806">
        <f t="shared" si="89"/>
        <v>1545.02</v>
      </c>
      <c r="O806" t="str" cm="1">
        <f t="array" aca="1" ref="O806" ca="1">_xlfn.IFS(
L806&lt;=0,"Not Due",
L806&lt;=30,"0–30 Days",
L806&lt;=60,"31–60 Days",
L806&lt;=90,"61–90 Days",
L806&lt;=180,"91–180 Days",
L806&lt;=365,"181–365 Days",
L806&gt;365,"365+ Days (High Risk)"
)</f>
        <v>181–365 Days</v>
      </c>
      <c r="P806">
        <f t="shared" si="90"/>
        <v>0</v>
      </c>
      <c r="Q806" s="3">
        <f t="shared" ca="1" si="88"/>
        <v>1545.02</v>
      </c>
    </row>
    <row r="807" spans="1:17" x14ac:dyDescent="0.25">
      <c r="A807" t="s">
        <v>811</v>
      </c>
      <c r="B807" t="s">
        <v>908</v>
      </c>
      <c r="C807" s="1">
        <v>45212</v>
      </c>
      <c r="D807" s="1">
        <v>45257</v>
      </c>
      <c r="E807">
        <v>2254.5500000000002</v>
      </c>
      <c r="F807" t="s">
        <v>913</v>
      </c>
      <c r="G807" t="s">
        <v>917</v>
      </c>
      <c r="I807" t="s">
        <v>919</v>
      </c>
      <c r="J807" t="b">
        <f t="shared" si="84"/>
        <v>1</v>
      </c>
      <c r="K807" s="3">
        <f t="shared" ca="1" si="85"/>
        <v>839</v>
      </c>
      <c r="L807" s="3">
        <f t="shared" ca="1" si="86"/>
        <v>794</v>
      </c>
      <c r="M807" t="str">
        <f t="shared" ca="1" si="87"/>
        <v>Overdue</v>
      </c>
      <c r="N807">
        <f t="shared" si="89"/>
        <v>2254.5500000000002</v>
      </c>
      <c r="O807" t="str" cm="1">
        <f t="array" aca="1" ref="O807" ca="1">_xlfn.IFS(
L807&lt;=0,"Not Due",
L807&lt;=30,"0–30 Days",
L807&lt;=60,"31–60 Days",
L807&lt;=90,"61–90 Days",
L807&lt;=180,"91–180 Days",
L807&lt;=365,"181–365 Days",
L807&gt;365,"365+ Days (High Risk)"
)</f>
        <v>365+ Days (High Risk)</v>
      </c>
      <c r="P807">
        <f t="shared" si="90"/>
        <v>0</v>
      </c>
      <c r="Q807" s="3">
        <f t="shared" ca="1" si="88"/>
        <v>2254.5500000000002</v>
      </c>
    </row>
    <row r="808" spans="1:17" x14ac:dyDescent="0.25">
      <c r="A808" t="s">
        <v>812</v>
      </c>
      <c r="B808" t="s">
        <v>906</v>
      </c>
      <c r="C808" s="1">
        <v>45036</v>
      </c>
      <c r="D808" s="1">
        <v>45081</v>
      </c>
      <c r="E808">
        <v>4375.79</v>
      </c>
      <c r="F808" t="s">
        <v>911</v>
      </c>
      <c r="G808" t="s">
        <v>918</v>
      </c>
      <c r="H808" s="1">
        <v>45081</v>
      </c>
      <c r="I808" t="s">
        <v>919</v>
      </c>
      <c r="J808" t="b">
        <f t="shared" si="84"/>
        <v>0</v>
      </c>
      <c r="K808" s="3">
        <f t="shared" ca="1" si="85"/>
        <v>45</v>
      </c>
      <c r="L808" s="3">
        <f t="shared" ca="1" si="86"/>
        <v>0</v>
      </c>
      <c r="M808" t="str">
        <f t="shared" ca="1" si="87"/>
        <v>On Time</v>
      </c>
      <c r="N808">
        <f t="shared" si="89"/>
        <v>0</v>
      </c>
      <c r="O808" t="str" cm="1">
        <f t="array" aca="1" ref="O808" ca="1">_xlfn.IFS(
L808&lt;=0,"Not Due",
L808&lt;=30,"0–30 Days",
L808&lt;=60,"31–60 Days",
L808&lt;=90,"61–90 Days",
L808&lt;=180,"91–180 Days",
L808&lt;=365,"181–365 Days",
L808&gt;365,"365+ Days (High Risk)"
)</f>
        <v>Not Due</v>
      </c>
      <c r="P808">
        <f t="shared" si="90"/>
        <v>4375.79</v>
      </c>
      <c r="Q808" s="3">
        <f t="shared" ca="1" si="88"/>
        <v>0</v>
      </c>
    </row>
    <row r="809" spans="1:17" x14ac:dyDescent="0.25">
      <c r="A809" t="s">
        <v>813</v>
      </c>
      <c r="B809" t="s">
        <v>908</v>
      </c>
      <c r="C809" s="1">
        <v>45217</v>
      </c>
      <c r="D809" s="1">
        <v>45262</v>
      </c>
      <c r="E809">
        <v>4432.12</v>
      </c>
      <c r="F809" t="s">
        <v>914</v>
      </c>
      <c r="G809" t="s">
        <v>918</v>
      </c>
      <c r="H809" s="1">
        <v>45262</v>
      </c>
      <c r="I809" t="s">
        <v>919</v>
      </c>
      <c r="J809" t="b">
        <f t="shared" si="84"/>
        <v>0</v>
      </c>
      <c r="K809" s="3">
        <f t="shared" ca="1" si="85"/>
        <v>45</v>
      </c>
      <c r="L809" s="3">
        <f t="shared" ca="1" si="86"/>
        <v>0</v>
      </c>
      <c r="M809" t="str">
        <f t="shared" ca="1" si="87"/>
        <v>On Time</v>
      </c>
      <c r="N809">
        <f t="shared" si="89"/>
        <v>0</v>
      </c>
      <c r="O809" t="str" cm="1">
        <f t="array" aca="1" ref="O809" ca="1">_xlfn.IFS(
L809&lt;=0,"Not Due",
L809&lt;=30,"0–30 Days",
L809&lt;=60,"31–60 Days",
L809&lt;=90,"61–90 Days",
L809&lt;=180,"91–180 Days",
L809&lt;=365,"181–365 Days",
L809&gt;365,"365+ Days (High Risk)"
)</f>
        <v>Not Due</v>
      </c>
      <c r="P809">
        <f t="shared" si="90"/>
        <v>4432.12</v>
      </c>
      <c r="Q809" s="3">
        <f t="shared" ca="1" si="88"/>
        <v>0</v>
      </c>
    </row>
    <row r="810" spans="1:17" x14ac:dyDescent="0.25">
      <c r="A810" t="s">
        <v>814</v>
      </c>
      <c r="B810" t="s">
        <v>908</v>
      </c>
      <c r="C810" s="1">
        <v>45141</v>
      </c>
      <c r="D810" s="1">
        <v>45186</v>
      </c>
      <c r="E810">
        <v>4568.71</v>
      </c>
      <c r="F810" t="s">
        <v>912</v>
      </c>
      <c r="G810" t="s">
        <v>916</v>
      </c>
      <c r="I810" t="s">
        <v>919</v>
      </c>
      <c r="J810" t="b">
        <f t="shared" si="84"/>
        <v>1</v>
      </c>
      <c r="K810" s="3">
        <f t="shared" ca="1" si="85"/>
        <v>910</v>
      </c>
      <c r="L810" s="3">
        <f t="shared" ca="1" si="86"/>
        <v>865</v>
      </c>
      <c r="M810" t="str">
        <f t="shared" ca="1" si="87"/>
        <v>Overdue</v>
      </c>
      <c r="N810">
        <f t="shared" si="89"/>
        <v>4568.71</v>
      </c>
      <c r="O810" t="str" cm="1">
        <f t="array" aca="1" ref="O810" ca="1">_xlfn.IFS(
L810&lt;=0,"Not Due",
L810&lt;=30,"0–30 Days",
L810&lt;=60,"31–60 Days",
L810&lt;=90,"61–90 Days",
L810&lt;=180,"91–180 Days",
L810&lt;=365,"181–365 Days",
L810&gt;365,"365+ Days (High Risk)"
)</f>
        <v>365+ Days (High Risk)</v>
      </c>
      <c r="P810">
        <f t="shared" si="90"/>
        <v>0</v>
      </c>
      <c r="Q810" s="3">
        <f t="shared" ca="1" si="88"/>
        <v>4568.71</v>
      </c>
    </row>
    <row r="811" spans="1:17" x14ac:dyDescent="0.25">
      <c r="A811" t="s">
        <v>815</v>
      </c>
      <c r="B811" t="s">
        <v>909</v>
      </c>
      <c r="C811" s="1">
        <v>45284</v>
      </c>
      <c r="D811" s="1">
        <v>45329</v>
      </c>
      <c r="E811">
        <v>1773.02</v>
      </c>
      <c r="F811" t="s">
        <v>913</v>
      </c>
      <c r="G811" t="s">
        <v>918</v>
      </c>
      <c r="H811" s="1">
        <v>45329</v>
      </c>
      <c r="I811" t="s">
        <v>919</v>
      </c>
      <c r="J811" t="b">
        <f t="shared" si="84"/>
        <v>0</v>
      </c>
      <c r="K811" s="3">
        <f t="shared" ca="1" si="85"/>
        <v>45</v>
      </c>
      <c r="L811" s="3">
        <f t="shared" ca="1" si="86"/>
        <v>0</v>
      </c>
      <c r="M811" t="str">
        <f t="shared" ca="1" si="87"/>
        <v>On Time</v>
      </c>
      <c r="N811">
        <f t="shared" si="89"/>
        <v>0</v>
      </c>
      <c r="O811" t="str" cm="1">
        <f t="array" aca="1" ref="O811" ca="1">_xlfn.IFS(
L811&lt;=0,"Not Due",
L811&lt;=30,"0–30 Days",
L811&lt;=60,"31–60 Days",
L811&lt;=90,"61–90 Days",
L811&lt;=180,"91–180 Days",
L811&lt;=365,"181–365 Days",
L811&gt;365,"365+ Days (High Risk)"
)</f>
        <v>Not Due</v>
      </c>
      <c r="P811">
        <f t="shared" si="90"/>
        <v>1773.02</v>
      </c>
      <c r="Q811" s="3">
        <f t="shared" ca="1" si="88"/>
        <v>0</v>
      </c>
    </row>
    <row r="812" spans="1:17" x14ac:dyDescent="0.25">
      <c r="A812" t="s">
        <v>816</v>
      </c>
      <c r="B812" t="s">
        <v>909</v>
      </c>
      <c r="C812" s="1">
        <v>44938</v>
      </c>
      <c r="D812" s="1">
        <v>44983</v>
      </c>
      <c r="E812">
        <v>4728.13</v>
      </c>
      <c r="F812" t="s">
        <v>914</v>
      </c>
      <c r="G812" t="s">
        <v>918</v>
      </c>
      <c r="H812" s="1">
        <v>44983</v>
      </c>
      <c r="I812" t="s">
        <v>919</v>
      </c>
      <c r="J812" t="b">
        <f t="shared" si="84"/>
        <v>0</v>
      </c>
      <c r="K812" s="3">
        <f t="shared" ca="1" si="85"/>
        <v>45</v>
      </c>
      <c r="L812" s="3">
        <f t="shared" ca="1" si="86"/>
        <v>0</v>
      </c>
      <c r="M812" t="str">
        <f t="shared" ca="1" si="87"/>
        <v>On Time</v>
      </c>
      <c r="N812">
        <f t="shared" si="89"/>
        <v>0</v>
      </c>
      <c r="O812" t="str" cm="1">
        <f t="array" aca="1" ref="O812" ca="1">_xlfn.IFS(
L812&lt;=0,"Not Due",
L812&lt;=30,"0–30 Days",
L812&lt;=60,"31–60 Days",
L812&lt;=90,"61–90 Days",
L812&lt;=180,"91–180 Days",
L812&lt;=365,"181–365 Days",
L812&gt;365,"365+ Days (High Risk)"
)</f>
        <v>Not Due</v>
      </c>
      <c r="P812">
        <f t="shared" si="90"/>
        <v>4728.13</v>
      </c>
      <c r="Q812" s="3">
        <f t="shared" ca="1" si="88"/>
        <v>0</v>
      </c>
    </row>
    <row r="813" spans="1:17" x14ac:dyDescent="0.25">
      <c r="A813" t="s">
        <v>817</v>
      </c>
      <c r="B813" t="s">
        <v>908</v>
      </c>
      <c r="C813" s="1">
        <v>44985</v>
      </c>
      <c r="D813" s="1">
        <v>45030</v>
      </c>
      <c r="E813">
        <v>6487.26</v>
      </c>
      <c r="F813" t="s">
        <v>914</v>
      </c>
      <c r="G813" t="s">
        <v>917</v>
      </c>
      <c r="I813" t="s">
        <v>919</v>
      </c>
      <c r="J813" t="b">
        <f t="shared" si="84"/>
        <v>1</v>
      </c>
      <c r="K813" s="3">
        <f t="shared" ca="1" si="85"/>
        <v>1066</v>
      </c>
      <c r="L813" s="3">
        <f t="shared" ca="1" si="86"/>
        <v>1021</v>
      </c>
      <c r="M813" t="str">
        <f t="shared" ca="1" si="87"/>
        <v>Overdue</v>
      </c>
      <c r="N813">
        <f t="shared" si="89"/>
        <v>6487.26</v>
      </c>
      <c r="O813" t="str" cm="1">
        <f t="array" aca="1" ref="O813" ca="1">_xlfn.IFS(
L813&lt;=0,"Not Due",
L813&lt;=30,"0–30 Days",
L813&lt;=60,"31–60 Days",
L813&lt;=90,"61–90 Days",
L813&lt;=180,"91–180 Days",
L813&lt;=365,"181–365 Days",
L813&gt;365,"365+ Days (High Risk)"
)</f>
        <v>365+ Days (High Risk)</v>
      </c>
      <c r="P813">
        <f t="shared" si="90"/>
        <v>0</v>
      </c>
      <c r="Q813" s="3">
        <f t="shared" ca="1" si="88"/>
        <v>6487.26</v>
      </c>
    </row>
    <row r="814" spans="1:17" x14ac:dyDescent="0.25">
      <c r="A814" t="s">
        <v>818</v>
      </c>
      <c r="B814" t="s">
        <v>907</v>
      </c>
      <c r="C814" s="1">
        <v>45226</v>
      </c>
      <c r="D814" s="1">
        <v>45271</v>
      </c>
      <c r="E814">
        <v>4068.12</v>
      </c>
      <c r="F814" t="s">
        <v>912</v>
      </c>
      <c r="G814" t="s">
        <v>917</v>
      </c>
      <c r="I814" t="s">
        <v>919</v>
      </c>
      <c r="J814" t="b">
        <f t="shared" si="84"/>
        <v>1</v>
      </c>
      <c r="K814" s="3">
        <f t="shared" ca="1" si="85"/>
        <v>825</v>
      </c>
      <c r="L814" s="3">
        <f t="shared" ca="1" si="86"/>
        <v>780</v>
      </c>
      <c r="M814" t="str">
        <f t="shared" ca="1" si="87"/>
        <v>Overdue</v>
      </c>
      <c r="N814">
        <f t="shared" si="89"/>
        <v>4068.12</v>
      </c>
      <c r="O814" t="str" cm="1">
        <f t="array" aca="1" ref="O814" ca="1">_xlfn.IFS(
L814&lt;=0,"Not Due",
L814&lt;=30,"0–30 Days",
L814&lt;=60,"31–60 Days",
L814&lt;=90,"61–90 Days",
L814&lt;=180,"91–180 Days",
L814&lt;=365,"181–365 Days",
L814&gt;365,"365+ Days (High Risk)"
)</f>
        <v>365+ Days (High Risk)</v>
      </c>
      <c r="P814">
        <f t="shared" si="90"/>
        <v>0</v>
      </c>
      <c r="Q814" s="3">
        <f t="shared" ca="1" si="88"/>
        <v>4068.12</v>
      </c>
    </row>
    <row r="815" spans="1:17" x14ac:dyDescent="0.25">
      <c r="A815" t="s">
        <v>819</v>
      </c>
      <c r="B815" t="s">
        <v>910</v>
      </c>
      <c r="C815" s="1">
        <v>45631</v>
      </c>
      <c r="D815" s="1">
        <v>45676</v>
      </c>
      <c r="E815">
        <v>6480.06</v>
      </c>
      <c r="F815" t="s">
        <v>913</v>
      </c>
      <c r="G815" t="s">
        <v>916</v>
      </c>
      <c r="I815" t="s">
        <v>919</v>
      </c>
      <c r="J815" t="b">
        <f t="shared" si="84"/>
        <v>1</v>
      </c>
      <c r="K815" s="3">
        <f t="shared" ca="1" si="85"/>
        <v>420</v>
      </c>
      <c r="L815" s="3">
        <f t="shared" ca="1" si="86"/>
        <v>375</v>
      </c>
      <c r="M815" t="str">
        <f t="shared" ca="1" si="87"/>
        <v>Overdue</v>
      </c>
      <c r="N815">
        <f t="shared" si="89"/>
        <v>6480.06</v>
      </c>
      <c r="O815" t="str" cm="1">
        <f t="array" aca="1" ref="O815" ca="1">_xlfn.IFS(
L815&lt;=0,"Not Due",
L815&lt;=30,"0–30 Days",
L815&lt;=60,"31–60 Days",
L815&lt;=90,"61–90 Days",
L815&lt;=180,"91–180 Days",
L815&lt;=365,"181–365 Days",
L815&gt;365,"365+ Days (High Risk)"
)</f>
        <v>365+ Days (High Risk)</v>
      </c>
      <c r="P815">
        <f t="shared" si="90"/>
        <v>0</v>
      </c>
      <c r="Q815" s="3">
        <f t="shared" ca="1" si="88"/>
        <v>6480.06</v>
      </c>
    </row>
    <row r="816" spans="1:17" x14ac:dyDescent="0.25">
      <c r="A816" t="s">
        <v>820</v>
      </c>
      <c r="B816" t="s">
        <v>906</v>
      </c>
      <c r="C816" s="1">
        <v>45517</v>
      </c>
      <c r="D816" s="1">
        <v>45562</v>
      </c>
      <c r="E816">
        <v>3518.68</v>
      </c>
      <c r="F816" t="s">
        <v>912</v>
      </c>
      <c r="G816" t="s">
        <v>917</v>
      </c>
      <c r="I816" t="s">
        <v>919</v>
      </c>
      <c r="J816" t="b">
        <f t="shared" si="84"/>
        <v>1</v>
      </c>
      <c r="K816" s="3">
        <f t="shared" ca="1" si="85"/>
        <v>534</v>
      </c>
      <c r="L816" s="3">
        <f t="shared" ca="1" si="86"/>
        <v>489</v>
      </c>
      <c r="M816" t="str">
        <f t="shared" ca="1" si="87"/>
        <v>Overdue</v>
      </c>
      <c r="N816">
        <f t="shared" si="89"/>
        <v>3518.68</v>
      </c>
      <c r="O816" t="str" cm="1">
        <f t="array" aca="1" ref="O816" ca="1">_xlfn.IFS(
L816&lt;=0,"Not Due",
L816&lt;=30,"0–30 Days",
L816&lt;=60,"31–60 Days",
L816&lt;=90,"61–90 Days",
L816&lt;=180,"91–180 Days",
L816&lt;=365,"181–365 Days",
L816&gt;365,"365+ Days (High Risk)"
)</f>
        <v>365+ Days (High Risk)</v>
      </c>
      <c r="P816">
        <f t="shared" si="90"/>
        <v>0</v>
      </c>
      <c r="Q816" s="3">
        <f t="shared" ca="1" si="88"/>
        <v>3518.68</v>
      </c>
    </row>
    <row r="817" spans="1:17" x14ac:dyDescent="0.25">
      <c r="A817" t="s">
        <v>821</v>
      </c>
      <c r="B817" t="s">
        <v>906</v>
      </c>
      <c r="C817" s="1">
        <v>45304</v>
      </c>
      <c r="D817" s="1">
        <v>45349</v>
      </c>
      <c r="E817">
        <v>4965.96</v>
      </c>
      <c r="F817" t="s">
        <v>913</v>
      </c>
      <c r="G817" t="s">
        <v>917</v>
      </c>
      <c r="I817" t="s">
        <v>919</v>
      </c>
      <c r="J817" t="b">
        <f t="shared" si="84"/>
        <v>1</v>
      </c>
      <c r="K817" s="3">
        <f t="shared" ca="1" si="85"/>
        <v>747</v>
      </c>
      <c r="L817" s="3">
        <f t="shared" ca="1" si="86"/>
        <v>702</v>
      </c>
      <c r="M817" t="str">
        <f t="shared" ca="1" si="87"/>
        <v>Overdue</v>
      </c>
      <c r="N817">
        <f t="shared" si="89"/>
        <v>4965.96</v>
      </c>
      <c r="O817" t="str" cm="1">
        <f t="array" aca="1" ref="O817" ca="1">_xlfn.IFS(
L817&lt;=0,"Not Due",
L817&lt;=30,"0–30 Days",
L817&lt;=60,"31–60 Days",
L817&lt;=90,"61–90 Days",
L817&lt;=180,"91–180 Days",
L817&lt;=365,"181–365 Days",
L817&gt;365,"365+ Days (High Risk)"
)</f>
        <v>365+ Days (High Risk)</v>
      </c>
      <c r="P817">
        <f t="shared" si="90"/>
        <v>0</v>
      </c>
      <c r="Q817" s="3">
        <f t="shared" ca="1" si="88"/>
        <v>4965.96</v>
      </c>
    </row>
    <row r="818" spans="1:17" x14ac:dyDescent="0.25">
      <c r="A818" t="s">
        <v>822</v>
      </c>
      <c r="B818" t="s">
        <v>907</v>
      </c>
      <c r="C818" s="1">
        <v>45291</v>
      </c>
      <c r="D818" s="1">
        <v>45336</v>
      </c>
      <c r="E818">
        <v>4868.8900000000003</v>
      </c>
      <c r="F818" t="s">
        <v>911</v>
      </c>
      <c r="G818" t="s">
        <v>916</v>
      </c>
      <c r="I818" t="s">
        <v>919</v>
      </c>
      <c r="J818" t="b">
        <f t="shared" si="84"/>
        <v>1</v>
      </c>
      <c r="K818" s="3">
        <f t="shared" ca="1" si="85"/>
        <v>760</v>
      </c>
      <c r="L818" s="3">
        <f t="shared" ca="1" si="86"/>
        <v>715</v>
      </c>
      <c r="M818" t="str">
        <f t="shared" ca="1" si="87"/>
        <v>Overdue</v>
      </c>
      <c r="N818">
        <f t="shared" si="89"/>
        <v>4868.8900000000003</v>
      </c>
      <c r="O818" t="str" cm="1">
        <f t="array" aca="1" ref="O818" ca="1">_xlfn.IFS(
L818&lt;=0,"Not Due",
L818&lt;=30,"0–30 Days",
L818&lt;=60,"31–60 Days",
L818&lt;=90,"61–90 Days",
L818&lt;=180,"91–180 Days",
L818&lt;=365,"181–365 Days",
L818&gt;365,"365+ Days (High Risk)"
)</f>
        <v>365+ Days (High Risk)</v>
      </c>
      <c r="P818">
        <f t="shared" si="90"/>
        <v>0</v>
      </c>
      <c r="Q818" s="3">
        <f t="shared" ca="1" si="88"/>
        <v>4868.8900000000003</v>
      </c>
    </row>
    <row r="819" spans="1:17" x14ac:dyDescent="0.25">
      <c r="A819" t="s">
        <v>823</v>
      </c>
      <c r="B819" t="s">
        <v>907</v>
      </c>
      <c r="C819" s="1">
        <v>45362</v>
      </c>
      <c r="D819" s="1">
        <v>45407</v>
      </c>
      <c r="E819">
        <v>4916.9799999999996</v>
      </c>
      <c r="F819" t="s">
        <v>911</v>
      </c>
      <c r="G819" t="s">
        <v>918</v>
      </c>
      <c r="H819" s="1">
        <v>45407</v>
      </c>
      <c r="I819" t="s">
        <v>919</v>
      </c>
      <c r="J819" t="b">
        <f t="shared" si="84"/>
        <v>0</v>
      </c>
      <c r="K819" s="3">
        <f t="shared" ca="1" si="85"/>
        <v>45</v>
      </c>
      <c r="L819" s="3">
        <f t="shared" ca="1" si="86"/>
        <v>0</v>
      </c>
      <c r="M819" t="str">
        <f t="shared" ca="1" si="87"/>
        <v>On Time</v>
      </c>
      <c r="N819">
        <f t="shared" si="89"/>
        <v>0</v>
      </c>
      <c r="O819" t="str" cm="1">
        <f t="array" aca="1" ref="O819" ca="1">_xlfn.IFS(
L819&lt;=0,"Not Due",
L819&lt;=30,"0–30 Days",
L819&lt;=60,"31–60 Days",
L819&lt;=90,"61–90 Days",
L819&lt;=180,"91–180 Days",
L819&lt;=365,"181–365 Days",
L819&gt;365,"365+ Days (High Risk)"
)</f>
        <v>Not Due</v>
      </c>
      <c r="P819">
        <f t="shared" si="90"/>
        <v>4916.9799999999996</v>
      </c>
      <c r="Q819" s="3">
        <f t="shared" ca="1" si="88"/>
        <v>0</v>
      </c>
    </row>
    <row r="820" spans="1:17" x14ac:dyDescent="0.25">
      <c r="A820" t="s">
        <v>824</v>
      </c>
      <c r="B820" t="s">
        <v>906</v>
      </c>
      <c r="C820" s="1">
        <v>45470</v>
      </c>
      <c r="D820" s="1">
        <v>45515</v>
      </c>
      <c r="E820">
        <v>3806.24</v>
      </c>
      <c r="F820" t="s">
        <v>913</v>
      </c>
      <c r="G820" t="s">
        <v>918</v>
      </c>
      <c r="H820" s="1">
        <v>45515</v>
      </c>
      <c r="I820" t="s">
        <v>919</v>
      </c>
      <c r="J820" t="b">
        <f t="shared" si="84"/>
        <v>0</v>
      </c>
      <c r="K820" s="3">
        <f t="shared" ca="1" si="85"/>
        <v>45</v>
      </c>
      <c r="L820" s="3">
        <f t="shared" ca="1" si="86"/>
        <v>0</v>
      </c>
      <c r="M820" t="str">
        <f t="shared" ca="1" si="87"/>
        <v>On Time</v>
      </c>
      <c r="N820">
        <f t="shared" si="89"/>
        <v>0</v>
      </c>
      <c r="O820" t="str" cm="1">
        <f t="array" aca="1" ref="O820" ca="1">_xlfn.IFS(
L820&lt;=0,"Not Due",
L820&lt;=30,"0–30 Days",
L820&lt;=60,"31–60 Days",
L820&lt;=90,"61–90 Days",
L820&lt;=180,"91–180 Days",
L820&lt;=365,"181–365 Days",
L820&gt;365,"365+ Days (High Risk)"
)</f>
        <v>Not Due</v>
      </c>
      <c r="P820">
        <f t="shared" si="90"/>
        <v>3806.24</v>
      </c>
      <c r="Q820" s="3">
        <f t="shared" ca="1" si="88"/>
        <v>0</v>
      </c>
    </row>
    <row r="821" spans="1:17" x14ac:dyDescent="0.25">
      <c r="A821" t="s">
        <v>825</v>
      </c>
      <c r="B821" t="s">
        <v>908</v>
      </c>
      <c r="C821" s="1">
        <v>45814</v>
      </c>
      <c r="D821" s="1">
        <v>45859</v>
      </c>
      <c r="E821">
        <v>5185.96</v>
      </c>
      <c r="F821" t="s">
        <v>911</v>
      </c>
      <c r="G821" t="s">
        <v>917</v>
      </c>
      <c r="I821" t="s">
        <v>919</v>
      </c>
      <c r="J821" t="b">
        <f t="shared" si="84"/>
        <v>1</v>
      </c>
      <c r="K821" s="3">
        <f t="shared" ca="1" si="85"/>
        <v>237</v>
      </c>
      <c r="L821" s="3">
        <f t="shared" ca="1" si="86"/>
        <v>192</v>
      </c>
      <c r="M821" t="str">
        <f t="shared" ca="1" si="87"/>
        <v>Overdue</v>
      </c>
      <c r="N821">
        <f t="shared" si="89"/>
        <v>5185.96</v>
      </c>
      <c r="O821" t="str" cm="1">
        <f t="array" aca="1" ref="O821" ca="1">_xlfn.IFS(
L821&lt;=0,"Not Due",
L821&lt;=30,"0–30 Days",
L821&lt;=60,"31–60 Days",
L821&lt;=90,"61–90 Days",
L821&lt;=180,"91–180 Days",
L821&lt;=365,"181–365 Days",
L821&gt;365,"365+ Days (High Risk)"
)</f>
        <v>181–365 Days</v>
      </c>
      <c r="P821">
        <f t="shared" si="90"/>
        <v>0</v>
      </c>
      <c r="Q821" s="3">
        <f t="shared" ca="1" si="88"/>
        <v>5185.96</v>
      </c>
    </row>
    <row r="822" spans="1:17" x14ac:dyDescent="0.25">
      <c r="A822" t="s">
        <v>826</v>
      </c>
      <c r="B822" t="s">
        <v>907</v>
      </c>
      <c r="C822" s="1">
        <v>45302</v>
      </c>
      <c r="D822" s="1">
        <v>45347</v>
      </c>
      <c r="E822">
        <v>4303.5600000000004</v>
      </c>
      <c r="F822" t="s">
        <v>915</v>
      </c>
      <c r="G822" t="s">
        <v>917</v>
      </c>
      <c r="I822" t="s">
        <v>919</v>
      </c>
      <c r="J822" t="b">
        <f t="shared" si="84"/>
        <v>1</v>
      </c>
      <c r="K822" s="3">
        <f t="shared" ca="1" si="85"/>
        <v>749</v>
      </c>
      <c r="L822" s="3">
        <f t="shared" ca="1" si="86"/>
        <v>704</v>
      </c>
      <c r="M822" t="str">
        <f t="shared" ca="1" si="87"/>
        <v>Overdue</v>
      </c>
      <c r="N822">
        <f t="shared" si="89"/>
        <v>4303.5600000000004</v>
      </c>
      <c r="O822" t="str" cm="1">
        <f t="array" aca="1" ref="O822" ca="1">_xlfn.IFS(
L822&lt;=0,"Not Due",
L822&lt;=30,"0–30 Days",
L822&lt;=60,"31–60 Days",
L822&lt;=90,"61–90 Days",
L822&lt;=180,"91–180 Days",
L822&lt;=365,"181–365 Days",
L822&gt;365,"365+ Days (High Risk)"
)</f>
        <v>365+ Days (High Risk)</v>
      </c>
      <c r="P822">
        <f t="shared" si="90"/>
        <v>0</v>
      </c>
      <c r="Q822" s="3">
        <f t="shared" ca="1" si="88"/>
        <v>4303.5600000000004</v>
      </c>
    </row>
    <row r="823" spans="1:17" x14ac:dyDescent="0.25">
      <c r="A823" t="s">
        <v>827</v>
      </c>
      <c r="B823" t="s">
        <v>906</v>
      </c>
      <c r="C823" s="1">
        <v>45108</v>
      </c>
      <c r="D823" s="1">
        <v>45153</v>
      </c>
      <c r="E823">
        <v>6011.5</v>
      </c>
      <c r="F823" t="s">
        <v>911</v>
      </c>
      <c r="G823" t="s">
        <v>917</v>
      </c>
      <c r="I823" t="s">
        <v>919</v>
      </c>
      <c r="J823" t="b">
        <f t="shared" si="84"/>
        <v>1</v>
      </c>
      <c r="K823" s="3">
        <f t="shared" ca="1" si="85"/>
        <v>943</v>
      </c>
      <c r="L823" s="3">
        <f t="shared" ca="1" si="86"/>
        <v>898</v>
      </c>
      <c r="M823" t="str">
        <f t="shared" ca="1" si="87"/>
        <v>Overdue</v>
      </c>
      <c r="N823">
        <f t="shared" si="89"/>
        <v>6011.5</v>
      </c>
      <c r="O823" t="str" cm="1">
        <f t="array" aca="1" ref="O823" ca="1">_xlfn.IFS(
L823&lt;=0,"Not Due",
L823&lt;=30,"0–30 Days",
L823&lt;=60,"31–60 Days",
L823&lt;=90,"61–90 Days",
L823&lt;=180,"91–180 Days",
L823&lt;=365,"181–365 Days",
L823&gt;365,"365+ Days (High Risk)"
)</f>
        <v>365+ Days (High Risk)</v>
      </c>
      <c r="P823">
        <f t="shared" si="90"/>
        <v>0</v>
      </c>
      <c r="Q823" s="3">
        <f t="shared" ca="1" si="88"/>
        <v>6011.5</v>
      </c>
    </row>
    <row r="824" spans="1:17" x14ac:dyDescent="0.25">
      <c r="A824" t="s">
        <v>828</v>
      </c>
      <c r="B824" t="s">
        <v>909</v>
      </c>
      <c r="C824" s="1">
        <v>45672</v>
      </c>
      <c r="D824" s="1">
        <v>45717</v>
      </c>
      <c r="E824">
        <v>3111.71</v>
      </c>
      <c r="F824" t="s">
        <v>914</v>
      </c>
      <c r="G824" t="s">
        <v>917</v>
      </c>
      <c r="I824" t="s">
        <v>919</v>
      </c>
      <c r="J824" t="b">
        <f t="shared" si="84"/>
        <v>1</v>
      </c>
      <c r="K824" s="3">
        <f t="shared" ca="1" si="85"/>
        <v>379</v>
      </c>
      <c r="L824" s="3">
        <f t="shared" ca="1" si="86"/>
        <v>334</v>
      </c>
      <c r="M824" t="str">
        <f t="shared" ca="1" si="87"/>
        <v>Overdue</v>
      </c>
      <c r="N824">
        <f t="shared" si="89"/>
        <v>3111.71</v>
      </c>
      <c r="O824" t="str" cm="1">
        <f t="array" aca="1" ref="O824" ca="1">_xlfn.IFS(
L824&lt;=0,"Not Due",
L824&lt;=30,"0–30 Days",
L824&lt;=60,"31–60 Days",
L824&lt;=90,"61–90 Days",
L824&lt;=180,"91–180 Days",
L824&lt;=365,"181–365 Days",
L824&gt;365,"365+ Days (High Risk)"
)</f>
        <v>181–365 Days</v>
      </c>
      <c r="P824">
        <f t="shared" si="90"/>
        <v>0</v>
      </c>
      <c r="Q824" s="3">
        <f t="shared" ca="1" si="88"/>
        <v>3111.71</v>
      </c>
    </row>
    <row r="825" spans="1:17" x14ac:dyDescent="0.25">
      <c r="A825" t="s">
        <v>829</v>
      </c>
      <c r="B825" t="s">
        <v>910</v>
      </c>
      <c r="C825" s="1">
        <v>45618</v>
      </c>
      <c r="D825" s="1">
        <v>45663</v>
      </c>
      <c r="E825">
        <v>7891.74</v>
      </c>
      <c r="F825" t="s">
        <v>913</v>
      </c>
      <c r="G825" t="s">
        <v>916</v>
      </c>
      <c r="I825" t="s">
        <v>919</v>
      </c>
      <c r="J825" t="b">
        <f t="shared" si="84"/>
        <v>1</v>
      </c>
      <c r="K825" s="3">
        <f t="shared" ca="1" si="85"/>
        <v>433</v>
      </c>
      <c r="L825" s="3">
        <f t="shared" ca="1" si="86"/>
        <v>388</v>
      </c>
      <c r="M825" t="str">
        <f t="shared" ca="1" si="87"/>
        <v>Overdue</v>
      </c>
      <c r="N825">
        <f t="shared" si="89"/>
        <v>7891.74</v>
      </c>
      <c r="O825" t="str" cm="1">
        <f t="array" aca="1" ref="O825" ca="1">_xlfn.IFS(
L825&lt;=0,"Not Due",
L825&lt;=30,"0–30 Days",
L825&lt;=60,"31–60 Days",
L825&lt;=90,"61–90 Days",
L825&lt;=180,"91–180 Days",
L825&lt;=365,"181–365 Days",
L825&gt;365,"365+ Days (High Risk)"
)</f>
        <v>365+ Days (High Risk)</v>
      </c>
      <c r="P825">
        <f t="shared" si="90"/>
        <v>0</v>
      </c>
      <c r="Q825" s="3">
        <f t="shared" ca="1" si="88"/>
        <v>7891.74</v>
      </c>
    </row>
    <row r="826" spans="1:17" x14ac:dyDescent="0.25">
      <c r="A826" t="s">
        <v>830</v>
      </c>
      <c r="B826" t="s">
        <v>908</v>
      </c>
      <c r="C826" s="1">
        <v>45285</v>
      </c>
      <c r="D826" s="1">
        <v>45330</v>
      </c>
      <c r="E826">
        <v>4155.67</v>
      </c>
      <c r="F826" t="s">
        <v>911</v>
      </c>
      <c r="G826" t="s">
        <v>916</v>
      </c>
      <c r="I826" t="s">
        <v>919</v>
      </c>
      <c r="J826" t="b">
        <f t="shared" si="84"/>
        <v>1</v>
      </c>
      <c r="K826" s="3">
        <f t="shared" ca="1" si="85"/>
        <v>766</v>
      </c>
      <c r="L826" s="3">
        <f t="shared" ca="1" si="86"/>
        <v>721</v>
      </c>
      <c r="M826" t="str">
        <f t="shared" ca="1" si="87"/>
        <v>Overdue</v>
      </c>
      <c r="N826">
        <f t="shared" si="89"/>
        <v>4155.67</v>
      </c>
      <c r="O826" t="str" cm="1">
        <f t="array" aca="1" ref="O826" ca="1">_xlfn.IFS(
L826&lt;=0,"Not Due",
L826&lt;=30,"0–30 Days",
L826&lt;=60,"31–60 Days",
L826&lt;=90,"61–90 Days",
L826&lt;=180,"91–180 Days",
L826&lt;=365,"181–365 Days",
L826&gt;365,"365+ Days (High Risk)"
)</f>
        <v>365+ Days (High Risk)</v>
      </c>
      <c r="P826">
        <f t="shared" si="90"/>
        <v>0</v>
      </c>
      <c r="Q826" s="3">
        <f t="shared" ca="1" si="88"/>
        <v>4155.67</v>
      </c>
    </row>
    <row r="827" spans="1:17" x14ac:dyDescent="0.25">
      <c r="A827" t="s">
        <v>831</v>
      </c>
      <c r="B827" t="s">
        <v>909</v>
      </c>
      <c r="C827" s="1">
        <v>45524</v>
      </c>
      <c r="D827" s="1">
        <v>45569</v>
      </c>
      <c r="E827">
        <v>3416.11</v>
      </c>
      <c r="F827" t="s">
        <v>914</v>
      </c>
      <c r="G827" t="s">
        <v>917</v>
      </c>
      <c r="I827" t="s">
        <v>919</v>
      </c>
      <c r="J827" t="b">
        <f t="shared" si="84"/>
        <v>1</v>
      </c>
      <c r="K827" s="3">
        <f t="shared" ca="1" si="85"/>
        <v>527</v>
      </c>
      <c r="L827" s="3">
        <f t="shared" ca="1" si="86"/>
        <v>482</v>
      </c>
      <c r="M827" t="str">
        <f t="shared" ca="1" si="87"/>
        <v>Overdue</v>
      </c>
      <c r="N827">
        <f t="shared" si="89"/>
        <v>3416.11</v>
      </c>
      <c r="O827" t="str" cm="1">
        <f t="array" aca="1" ref="O827" ca="1">_xlfn.IFS(
L827&lt;=0,"Not Due",
L827&lt;=30,"0–30 Days",
L827&lt;=60,"31–60 Days",
L827&lt;=90,"61–90 Days",
L827&lt;=180,"91–180 Days",
L827&lt;=365,"181–365 Days",
L827&gt;365,"365+ Days (High Risk)"
)</f>
        <v>365+ Days (High Risk)</v>
      </c>
      <c r="P827">
        <f t="shared" si="90"/>
        <v>0</v>
      </c>
      <c r="Q827" s="3">
        <f t="shared" ca="1" si="88"/>
        <v>3416.11</v>
      </c>
    </row>
    <row r="828" spans="1:17" x14ac:dyDescent="0.25">
      <c r="A828" t="s">
        <v>832</v>
      </c>
      <c r="B828" t="s">
        <v>910</v>
      </c>
      <c r="C828" s="1">
        <v>45768</v>
      </c>
      <c r="D828" s="1">
        <v>45813</v>
      </c>
      <c r="E828">
        <v>3101.41</v>
      </c>
      <c r="F828" t="s">
        <v>913</v>
      </c>
      <c r="G828" t="s">
        <v>917</v>
      </c>
      <c r="I828" t="s">
        <v>919</v>
      </c>
      <c r="J828" t="b">
        <f t="shared" si="84"/>
        <v>1</v>
      </c>
      <c r="K828" s="3">
        <f t="shared" ca="1" si="85"/>
        <v>283</v>
      </c>
      <c r="L828" s="3">
        <f t="shared" ca="1" si="86"/>
        <v>238</v>
      </c>
      <c r="M828" t="str">
        <f t="shared" ca="1" si="87"/>
        <v>Overdue</v>
      </c>
      <c r="N828">
        <f t="shared" si="89"/>
        <v>3101.41</v>
      </c>
      <c r="O828" t="str" cm="1">
        <f t="array" aca="1" ref="O828" ca="1">_xlfn.IFS(
L828&lt;=0,"Not Due",
L828&lt;=30,"0–30 Days",
L828&lt;=60,"31–60 Days",
L828&lt;=90,"61–90 Days",
L828&lt;=180,"91–180 Days",
L828&lt;=365,"181–365 Days",
L828&gt;365,"365+ Days (High Risk)"
)</f>
        <v>181–365 Days</v>
      </c>
      <c r="P828">
        <f t="shared" si="90"/>
        <v>0</v>
      </c>
      <c r="Q828" s="3">
        <f t="shared" ca="1" si="88"/>
        <v>3101.41</v>
      </c>
    </row>
    <row r="829" spans="1:17" x14ac:dyDescent="0.25">
      <c r="A829" t="s">
        <v>833</v>
      </c>
      <c r="B829" t="s">
        <v>908</v>
      </c>
      <c r="C829" s="1">
        <v>45828</v>
      </c>
      <c r="D829" s="1">
        <v>45873</v>
      </c>
      <c r="E829">
        <v>4340.3100000000004</v>
      </c>
      <c r="F829" t="s">
        <v>911</v>
      </c>
      <c r="G829" t="s">
        <v>916</v>
      </c>
      <c r="I829" t="s">
        <v>919</v>
      </c>
      <c r="J829" t="b">
        <f t="shared" si="84"/>
        <v>1</v>
      </c>
      <c r="K829" s="3">
        <f t="shared" ca="1" si="85"/>
        <v>223</v>
      </c>
      <c r="L829" s="3">
        <f t="shared" ca="1" si="86"/>
        <v>178</v>
      </c>
      <c r="M829" t="str">
        <f t="shared" ca="1" si="87"/>
        <v>Overdue</v>
      </c>
      <c r="N829">
        <f t="shared" si="89"/>
        <v>4340.3100000000004</v>
      </c>
      <c r="O829" t="str" cm="1">
        <f t="array" aca="1" ref="O829" ca="1">_xlfn.IFS(
L829&lt;=0,"Not Due",
L829&lt;=30,"0–30 Days",
L829&lt;=60,"31–60 Days",
L829&lt;=90,"61–90 Days",
L829&lt;=180,"91–180 Days",
L829&lt;=365,"181–365 Days",
L829&gt;365,"365+ Days (High Risk)"
)</f>
        <v>91–180 Days</v>
      </c>
      <c r="P829">
        <f t="shared" si="90"/>
        <v>0</v>
      </c>
      <c r="Q829" s="3">
        <f t="shared" ca="1" si="88"/>
        <v>4340.3100000000004</v>
      </c>
    </row>
    <row r="830" spans="1:17" x14ac:dyDescent="0.25">
      <c r="A830" t="s">
        <v>834</v>
      </c>
      <c r="B830" t="s">
        <v>907</v>
      </c>
      <c r="C830" s="1">
        <v>45550</v>
      </c>
      <c r="D830" s="1">
        <v>45595</v>
      </c>
      <c r="E830">
        <v>3421.13</v>
      </c>
      <c r="F830" t="s">
        <v>911</v>
      </c>
      <c r="G830" t="s">
        <v>918</v>
      </c>
      <c r="H830" s="1">
        <v>45595</v>
      </c>
      <c r="I830" t="s">
        <v>919</v>
      </c>
      <c r="J830" t="b">
        <f t="shared" si="84"/>
        <v>0</v>
      </c>
      <c r="K830" s="3">
        <f t="shared" ca="1" si="85"/>
        <v>45</v>
      </c>
      <c r="L830" s="3">
        <f t="shared" ca="1" si="86"/>
        <v>0</v>
      </c>
      <c r="M830" t="str">
        <f t="shared" ca="1" si="87"/>
        <v>On Time</v>
      </c>
      <c r="N830">
        <f t="shared" si="89"/>
        <v>0</v>
      </c>
      <c r="O830" t="str" cm="1">
        <f t="array" aca="1" ref="O830" ca="1">_xlfn.IFS(
L830&lt;=0,"Not Due",
L830&lt;=30,"0–30 Days",
L830&lt;=60,"31–60 Days",
L830&lt;=90,"61–90 Days",
L830&lt;=180,"91–180 Days",
L830&lt;=365,"181–365 Days",
L830&gt;365,"365+ Days (High Risk)"
)</f>
        <v>Not Due</v>
      </c>
      <c r="P830">
        <f t="shared" si="90"/>
        <v>3421.13</v>
      </c>
      <c r="Q830" s="3">
        <f t="shared" ca="1" si="88"/>
        <v>0</v>
      </c>
    </row>
    <row r="831" spans="1:17" x14ac:dyDescent="0.25">
      <c r="A831" t="s">
        <v>835</v>
      </c>
      <c r="B831" t="s">
        <v>906</v>
      </c>
      <c r="C831" s="1">
        <v>45836</v>
      </c>
      <c r="D831" s="1">
        <v>45881</v>
      </c>
      <c r="E831">
        <v>6109.5</v>
      </c>
      <c r="F831" t="s">
        <v>911</v>
      </c>
      <c r="G831" t="s">
        <v>917</v>
      </c>
      <c r="I831" t="s">
        <v>919</v>
      </c>
      <c r="J831" t="b">
        <f t="shared" si="84"/>
        <v>1</v>
      </c>
      <c r="K831" s="3">
        <f t="shared" ca="1" si="85"/>
        <v>215</v>
      </c>
      <c r="L831" s="3">
        <f t="shared" ca="1" si="86"/>
        <v>170</v>
      </c>
      <c r="M831" t="str">
        <f t="shared" ca="1" si="87"/>
        <v>Overdue</v>
      </c>
      <c r="N831">
        <f t="shared" si="89"/>
        <v>6109.5</v>
      </c>
      <c r="O831" t="str" cm="1">
        <f t="array" aca="1" ref="O831" ca="1">_xlfn.IFS(
L831&lt;=0,"Not Due",
L831&lt;=30,"0–30 Days",
L831&lt;=60,"31–60 Days",
L831&lt;=90,"61–90 Days",
L831&lt;=180,"91–180 Days",
L831&lt;=365,"181–365 Days",
L831&gt;365,"365+ Days (High Risk)"
)</f>
        <v>91–180 Days</v>
      </c>
      <c r="P831">
        <f t="shared" si="90"/>
        <v>0</v>
      </c>
      <c r="Q831" s="3">
        <f t="shared" ca="1" si="88"/>
        <v>6109.5</v>
      </c>
    </row>
    <row r="832" spans="1:17" x14ac:dyDescent="0.25">
      <c r="A832" t="s">
        <v>836</v>
      </c>
      <c r="B832" t="s">
        <v>910</v>
      </c>
      <c r="C832" s="1">
        <v>45662</v>
      </c>
      <c r="D832" s="1">
        <v>45707</v>
      </c>
      <c r="E832">
        <v>5463.95</v>
      </c>
      <c r="F832" t="s">
        <v>912</v>
      </c>
      <c r="G832" t="s">
        <v>916</v>
      </c>
      <c r="I832" t="s">
        <v>919</v>
      </c>
      <c r="J832" t="b">
        <f t="shared" si="84"/>
        <v>1</v>
      </c>
      <c r="K832" s="3">
        <f t="shared" ca="1" si="85"/>
        <v>389</v>
      </c>
      <c r="L832" s="3">
        <f t="shared" ca="1" si="86"/>
        <v>344</v>
      </c>
      <c r="M832" t="str">
        <f t="shared" ca="1" si="87"/>
        <v>Overdue</v>
      </c>
      <c r="N832">
        <f t="shared" si="89"/>
        <v>5463.95</v>
      </c>
      <c r="O832" t="str" cm="1">
        <f t="array" aca="1" ref="O832" ca="1">_xlfn.IFS(
L832&lt;=0,"Not Due",
L832&lt;=30,"0–30 Days",
L832&lt;=60,"31–60 Days",
L832&lt;=90,"61–90 Days",
L832&lt;=180,"91–180 Days",
L832&lt;=365,"181–365 Days",
L832&gt;365,"365+ Days (High Risk)"
)</f>
        <v>181–365 Days</v>
      </c>
      <c r="P832">
        <f t="shared" si="90"/>
        <v>0</v>
      </c>
      <c r="Q832" s="3">
        <f t="shared" ca="1" si="88"/>
        <v>5463.95</v>
      </c>
    </row>
    <row r="833" spans="1:17" x14ac:dyDescent="0.25">
      <c r="A833" t="s">
        <v>837</v>
      </c>
      <c r="B833" t="s">
        <v>909</v>
      </c>
      <c r="C833" s="1">
        <v>45160</v>
      </c>
      <c r="D833" s="1">
        <v>45205</v>
      </c>
      <c r="E833">
        <v>6119.76</v>
      </c>
      <c r="F833" t="s">
        <v>914</v>
      </c>
      <c r="G833" t="s">
        <v>918</v>
      </c>
      <c r="H833" s="1">
        <v>45205</v>
      </c>
      <c r="I833" t="s">
        <v>919</v>
      </c>
      <c r="J833" t="b">
        <f t="shared" si="84"/>
        <v>0</v>
      </c>
      <c r="K833" s="3">
        <f t="shared" ca="1" si="85"/>
        <v>45</v>
      </c>
      <c r="L833" s="3">
        <f t="shared" ca="1" si="86"/>
        <v>0</v>
      </c>
      <c r="M833" t="str">
        <f t="shared" ca="1" si="87"/>
        <v>On Time</v>
      </c>
      <c r="N833">
        <f t="shared" si="89"/>
        <v>0</v>
      </c>
      <c r="O833" t="str" cm="1">
        <f t="array" aca="1" ref="O833" ca="1">_xlfn.IFS(
L833&lt;=0,"Not Due",
L833&lt;=30,"0–30 Days",
L833&lt;=60,"31–60 Days",
L833&lt;=90,"61–90 Days",
L833&lt;=180,"91–180 Days",
L833&lt;=365,"181–365 Days",
L833&gt;365,"365+ Days (High Risk)"
)</f>
        <v>Not Due</v>
      </c>
      <c r="P833">
        <f t="shared" si="90"/>
        <v>6119.76</v>
      </c>
      <c r="Q833" s="3">
        <f t="shared" ca="1" si="88"/>
        <v>0</v>
      </c>
    </row>
    <row r="834" spans="1:17" x14ac:dyDescent="0.25">
      <c r="A834" t="s">
        <v>838</v>
      </c>
      <c r="B834" t="s">
        <v>910</v>
      </c>
      <c r="C834" s="1">
        <v>45360</v>
      </c>
      <c r="D834" s="1">
        <v>45405</v>
      </c>
      <c r="E834">
        <v>5529.68</v>
      </c>
      <c r="F834" t="s">
        <v>912</v>
      </c>
      <c r="G834" t="s">
        <v>917</v>
      </c>
      <c r="I834" t="s">
        <v>919</v>
      </c>
      <c r="J834" t="b">
        <f t="shared" ref="J834:J901" si="91">ISBLANK(H834)</f>
        <v>1</v>
      </c>
      <c r="K834" s="3">
        <f t="shared" ref="K834:K901" ca="1" si="92">IF(G834="Received",
IF(H834="",TODAY()-C834,H834-C834),
TODAY()-C834)</f>
        <v>691</v>
      </c>
      <c r="L834" s="3">
        <f t="shared" ref="L834:L901" ca="1" si="93">IF(N834=0,0,TODAY()-D834)</f>
        <v>646</v>
      </c>
      <c r="M834" t="str">
        <f t="shared" ref="M834:M897" ca="1" si="94">IF(L834&gt;0,"Overdue","On Time")</f>
        <v>Overdue</v>
      </c>
      <c r="N834">
        <f t="shared" si="89"/>
        <v>5529.68</v>
      </c>
      <c r="O834" t="str" cm="1">
        <f t="array" aca="1" ref="O834" ca="1">_xlfn.IFS(
L834&lt;=0,"Not Due",
L834&lt;=30,"0–30 Days",
L834&lt;=60,"31–60 Days",
L834&lt;=90,"61–90 Days",
L834&lt;=180,"91–180 Days",
L834&lt;=365,"181–365 Days",
L834&gt;365,"365+ Days (High Risk)"
)</f>
        <v>365+ Days (High Risk)</v>
      </c>
      <c r="P834">
        <f t="shared" si="90"/>
        <v>0</v>
      </c>
      <c r="Q834" s="3">
        <f t="shared" ref="Q834:Q901" ca="1" si="95">IF(L834&gt;0, N834, 0)</f>
        <v>5529.68</v>
      </c>
    </row>
    <row r="835" spans="1:17" x14ac:dyDescent="0.25">
      <c r="A835" t="s">
        <v>839</v>
      </c>
      <c r="B835" t="s">
        <v>910</v>
      </c>
      <c r="C835" s="1">
        <v>45646</v>
      </c>
      <c r="D835" s="1">
        <v>45691</v>
      </c>
      <c r="E835">
        <v>5859.96</v>
      </c>
      <c r="F835" t="s">
        <v>913</v>
      </c>
      <c r="G835" t="s">
        <v>918</v>
      </c>
      <c r="H835" s="1">
        <v>45691</v>
      </c>
      <c r="I835" t="s">
        <v>919</v>
      </c>
      <c r="J835" t="b">
        <f t="shared" si="91"/>
        <v>0</v>
      </c>
      <c r="K835" s="3">
        <f t="shared" ca="1" si="92"/>
        <v>45</v>
      </c>
      <c r="L835" s="3">
        <f t="shared" ca="1" si="93"/>
        <v>0</v>
      </c>
      <c r="M835" t="str">
        <f t="shared" ca="1" si="94"/>
        <v>On Time</v>
      </c>
      <c r="N835">
        <f t="shared" ref="N835:N898" si="96">IF(G835="Received",0,E835)</f>
        <v>0</v>
      </c>
      <c r="O835" t="str" cm="1">
        <f t="array" aca="1" ref="O835" ca="1">_xlfn.IFS(
L835&lt;=0,"Not Due",
L835&lt;=30,"0–30 Days",
L835&lt;=60,"31–60 Days",
L835&lt;=90,"61–90 Days",
L835&lt;=180,"91–180 Days",
L835&lt;=365,"181–365 Days",
L835&gt;365,"365+ Days (High Risk)"
)</f>
        <v>Not Due</v>
      </c>
      <c r="P835">
        <f t="shared" ref="P835:P898" si="97">E835-N835</f>
        <v>5859.96</v>
      </c>
      <c r="Q835" s="3">
        <f t="shared" ca="1" si="95"/>
        <v>0</v>
      </c>
    </row>
    <row r="836" spans="1:17" x14ac:dyDescent="0.25">
      <c r="A836" t="s">
        <v>840</v>
      </c>
      <c r="B836" t="s">
        <v>906</v>
      </c>
      <c r="C836" s="1">
        <v>45115</v>
      </c>
      <c r="D836" s="1">
        <v>45160</v>
      </c>
      <c r="E836">
        <v>7051.74</v>
      </c>
      <c r="F836" t="s">
        <v>913</v>
      </c>
      <c r="G836" t="s">
        <v>918</v>
      </c>
      <c r="H836" s="1">
        <v>45160</v>
      </c>
      <c r="I836" t="s">
        <v>919</v>
      </c>
      <c r="J836" t="b">
        <f t="shared" si="91"/>
        <v>0</v>
      </c>
      <c r="K836" s="3">
        <f t="shared" ca="1" si="92"/>
        <v>45</v>
      </c>
      <c r="L836" s="3">
        <f t="shared" ca="1" si="93"/>
        <v>0</v>
      </c>
      <c r="M836" t="str">
        <f t="shared" ca="1" si="94"/>
        <v>On Time</v>
      </c>
      <c r="N836">
        <f t="shared" si="96"/>
        <v>0</v>
      </c>
      <c r="O836" t="str" cm="1">
        <f t="array" aca="1" ref="O836" ca="1">_xlfn.IFS(
L836&lt;=0,"Not Due",
L836&lt;=30,"0–30 Days",
L836&lt;=60,"31–60 Days",
L836&lt;=90,"61–90 Days",
L836&lt;=180,"91–180 Days",
L836&lt;=365,"181–365 Days",
L836&gt;365,"365+ Days (High Risk)"
)</f>
        <v>Not Due</v>
      </c>
      <c r="P836">
        <f t="shared" si="97"/>
        <v>7051.74</v>
      </c>
      <c r="Q836" s="3">
        <f t="shared" ca="1" si="95"/>
        <v>0</v>
      </c>
    </row>
    <row r="837" spans="1:17" x14ac:dyDescent="0.25">
      <c r="A837" t="s">
        <v>841</v>
      </c>
      <c r="B837" t="s">
        <v>908</v>
      </c>
      <c r="C837" s="1">
        <v>44935</v>
      </c>
      <c r="D837" s="1">
        <v>44980</v>
      </c>
      <c r="E837">
        <v>1546.25</v>
      </c>
      <c r="F837" t="s">
        <v>912</v>
      </c>
      <c r="G837" t="s">
        <v>917</v>
      </c>
      <c r="I837" t="s">
        <v>919</v>
      </c>
      <c r="J837" t="b">
        <f t="shared" si="91"/>
        <v>1</v>
      </c>
      <c r="K837" s="3">
        <f t="shared" ca="1" si="92"/>
        <v>1116</v>
      </c>
      <c r="L837" s="3">
        <f t="shared" ca="1" si="93"/>
        <v>1071</v>
      </c>
      <c r="M837" t="str">
        <f t="shared" ca="1" si="94"/>
        <v>Overdue</v>
      </c>
      <c r="N837">
        <f t="shared" si="96"/>
        <v>1546.25</v>
      </c>
      <c r="O837" t="str" cm="1">
        <f t="array" aca="1" ref="O837" ca="1">_xlfn.IFS(
L837&lt;=0,"Not Due",
L837&lt;=30,"0–30 Days",
L837&lt;=60,"31–60 Days",
L837&lt;=90,"61–90 Days",
L837&lt;=180,"91–180 Days",
L837&lt;=365,"181–365 Days",
L837&gt;365,"365+ Days (High Risk)"
)</f>
        <v>365+ Days (High Risk)</v>
      </c>
      <c r="P837">
        <f t="shared" si="97"/>
        <v>0</v>
      </c>
      <c r="Q837" s="3">
        <f t="shared" ca="1" si="95"/>
        <v>1546.25</v>
      </c>
    </row>
    <row r="838" spans="1:17" x14ac:dyDescent="0.25">
      <c r="A838" t="s">
        <v>842</v>
      </c>
      <c r="B838" t="s">
        <v>909</v>
      </c>
      <c r="C838" s="1">
        <v>45775</v>
      </c>
      <c r="D838" s="1">
        <v>45820</v>
      </c>
      <c r="E838">
        <v>6604.35</v>
      </c>
      <c r="F838" t="s">
        <v>911</v>
      </c>
      <c r="G838" t="s">
        <v>916</v>
      </c>
      <c r="I838" t="s">
        <v>919</v>
      </c>
      <c r="J838" t="b">
        <f t="shared" si="91"/>
        <v>1</v>
      </c>
      <c r="K838" s="3">
        <f t="shared" ca="1" si="92"/>
        <v>276</v>
      </c>
      <c r="L838" s="3">
        <f t="shared" ca="1" si="93"/>
        <v>231</v>
      </c>
      <c r="M838" t="str">
        <f t="shared" ca="1" si="94"/>
        <v>Overdue</v>
      </c>
      <c r="N838">
        <f t="shared" si="96"/>
        <v>6604.35</v>
      </c>
      <c r="O838" t="str" cm="1">
        <f t="array" aca="1" ref="O838" ca="1">_xlfn.IFS(
L838&lt;=0,"Not Due",
L838&lt;=30,"0–30 Days",
L838&lt;=60,"31–60 Days",
L838&lt;=90,"61–90 Days",
L838&lt;=180,"91–180 Days",
L838&lt;=365,"181–365 Days",
L838&gt;365,"365+ Days (High Risk)"
)</f>
        <v>181–365 Days</v>
      </c>
      <c r="P838">
        <f t="shared" si="97"/>
        <v>0</v>
      </c>
      <c r="Q838" s="3">
        <f t="shared" ca="1" si="95"/>
        <v>6604.35</v>
      </c>
    </row>
    <row r="839" spans="1:17" x14ac:dyDescent="0.25">
      <c r="A839" t="s">
        <v>843</v>
      </c>
      <c r="B839" t="s">
        <v>910</v>
      </c>
      <c r="C839" s="1">
        <v>45315</v>
      </c>
      <c r="D839" s="1">
        <v>45360</v>
      </c>
      <c r="E839">
        <v>2420.27</v>
      </c>
      <c r="F839" t="s">
        <v>915</v>
      </c>
      <c r="G839" t="s">
        <v>916</v>
      </c>
      <c r="I839" t="s">
        <v>919</v>
      </c>
      <c r="J839" t="b">
        <f t="shared" si="91"/>
        <v>1</v>
      </c>
      <c r="K839" s="3">
        <f t="shared" ca="1" si="92"/>
        <v>736</v>
      </c>
      <c r="L839" s="3">
        <f t="shared" ca="1" si="93"/>
        <v>691</v>
      </c>
      <c r="M839" t="str">
        <f t="shared" ca="1" si="94"/>
        <v>Overdue</v>
      </c>
      <c r="N839">
        <f t="shared" si="96"/>
        <v>2420.27</v>
      </c>
      <c r="O839" t="str" cm="1">
        <f t="array" aca="1" ref="O839" ca="1">_xlfn.IFS(
L839&lt;=0,"Not Due",
L839&lt;=30,"0–30 Days",
L839&lt;=60,"31–60 Days",
L839&lt;=90,"61–90 Days",
L839&lt;=180,"91–180 Days",
L839&lt;=365,"181–365 Days",
L839&gt;365,"365+ Days (High Risk)"
)</f>
        <v>365+ Days (High Risk)</v>
      </c>
      <c r="P839">
        <f t="shared" si="97"/>
        <v>0</v>
      </c>
      <c r="Q839" s="3">
        <f t="shared" ca="1" si="95"/>
        <v>2420.27</v>
      </c>
    </row>
    <row r="840" spans="1:17" x14ac:dyDescent="0.25">
      <c r="A840" t="s">
        <v>844</v>
      </c>
      <c r="B840" t="s">
        <v>908</v>
      </c>
      <c r="C840" s="1">
        <v>45589</v>
      </c>
      <c r="D840" s="1">
        <v>45634</v>
      </c>
      <c r="E840">
        <v>4890.76</v>
      </c>
      <c r="F840" t="s">
        <v>911</v>
      </c>
      <c r="G840" t="s">
        <v>916</v>
      </c>
      <c r="I840" t="s">
        <v>919</v>
      </c>
      <c r="J840" t="b">
        <f t="shared" si="91"/>
        <v>1</v>
      </c>
      <c r="K840" s="3">
        <f t="shared" ca="1" si="92"/>
        <v>462</v>
      </c>
      <c r="L840" s="3">
        <f t="shared" ca="1" si="93"/>
        <v>417</v>
      </c>
      <c r="M840" t="str">
        <f t="shared" ca="1" si="94"/>
        <v>Overdue</v>
      </c>
      <c r="N840">
        <f t="shared" si="96"/>
        <v>4890.76</v>
      </c>
      <c r="O840" t="str" cm="1">
        <f t="array" aca="1" ref="O840" ca="1">_xlfn.IFS(
L840&lt;=0,"Not Due",
L840&lt;=30,"0–30 Days",
L840&lt;=60,"31–60 Days",
L840&lt;=90,"61–90 Days",
L840&lt;=180,"91–180 Days",
L840&lt;=365,"181–365 Days",
L840&gt;365,"365+ Days (High Risk)"
)</f>
        <v>365+ Days (High Risk)</v>
      </c>
      <c r="P840">
        <f t="shared" si="97"/>
        <v>0</v>
      </c>
      <c r="Q840" s="3">
        <f t="shared" ca="1" si="95"/>
        <v>4890.76</v>
      </c>
    </row>
    <row r="841" spans="1:17" x14ac:dyDescent="0.25">
      <c r="A841" t="s">
        <v>845</v>
      </c>
      <c r="B841" t="s">
        <v>906</v>
      </c>
      <c r="C841" s="1">
        <v>45329</v>
      </c>
      <c r="D841" s="1">
        <v>45374</v>
      </c>
      <c r="E841">
        <v>5733.98</v>
      </c>
      <c r="F841" t="s">
        <v>913</v>
      </c>
      <c r="G841" t="s">
        <v>916</v>
      </c>
      <c r="I841" t="s">
        <v>919</v>
      </c>
      <c r="J841" t="b">
        <f t="shared" si="91"/>
        <v>1</v>
      </c>
      <c r="K841" s="3">
        <f t="shared" ca="1" si="92"/>
        <v>722</v>
      </c>
      <c r="L841" s="3">
        <f t="shared" ca="1" si="93"/>
        <v>677</v>
      </c>
      <c r="M841" t="str">
        <f t="shared" ca="1" si="94"/>
        <v>Overdue</v>
      </c>
      <c r="N841">
        <f t="shared" si="96"/>
        <v>5733.98</v>
      </c>
      <c r="O841" t="str" cm="1">
        <f t="array" aca="1" ref="O841" ca="1">_xlfn.IFS(
L841&lt;=0,"Not Due",
L841&lt;=30,"0–30 Days",
L841&lt;=60,"31–60 Days",
L841&lt;=90,"61–90 Days",
L841&lt;=180,"91–180 Days",
L841&lt;=365,"181–365 Days",
L841&gt;365,"365+ Days (High Risk)"
)</f>
        <v>365+ Days (High Risk)</v>
      </c>
      <c r="P841">
        <f t="shared" si="97"/>
        <v>0</v>
      </c>
      <c r="Q841" s="3">
        <f t="shared" ca="1" si="95"/>
        <v>5733.98</v>
      </c>
    </row>
    <row r="842" spans="1:17" x14ac:dyDescent="0.25">
      <c r="A842" t="s">
        <v>846</v>
      </c>
      <c r="B842" t="s">
        <v>910</v>
      </c>
      <c r="C842" s="1">
        <v>45772</v>
      </c>
      <c r="D842" s="1">
        <v>45817</v>
      </c>
      <c r="E842">
        <v>3537.28</v>
      </c>
      <c r="F842" t="s">
        <v>911</v>
      </c>
      <c r="G842" t="s">
        <v>918</v>
      </c>
      <c r="H842" s="1">
        <v>45817</v>
      </c>
      <c r="I842" t="s">
        <v>919</v>
      </c>
      <c r="J842" t="b">
        <f t="shared" si="91"/>
        <v>0</v>
      </c>
      <c r="K842" s="3">
        <f t="shared" ca="1" si="92"/>
        <v>45</v>
      </c>
      <c r="L842" s="3">
        <f t="shared" ca="1" si="93"/>
        <v>0</v>
      </c>
      <c r="M842" t="str">
        <f t="shared" ca="1" si="94"/>
        <v>On Time</v>
      </c>
      <c r="N842">
        <f t="shared" si="96"/>
        <v>0</v>
      </c>
      <c r="O842" t="str" cm="1">
        <f t="array" aca="1" ref="O842" ca="1">_xlfn.IFS(
L842&lt;=0,"Not Due",
L842&lt;=30,"0–30 Days",
L842&lt;=60,"31–60 Days",
L842&lt;=90,"61–90 Days",
L842&lt;=180,"91–180 Days",
L842&lt;=365,"181–365 Days",
L842&gt;365,"365+ Days (High Risk)"
)</f>
        <v>Not Due</v>
      </c>
      <c r="P842">
        <f t="shared" si="97"/>
        <v>3537.28</v>
      </c>
      <c r="Q842" s="3">
        <f t="shared" ca="1" si="95"/>
        <v>0</v>
      </c>
    </row>
    <row r="843" spans="1:17" x14ac:dyDescent="0.25">
      <c r="A843" t="s">
        <v>847</v>
      </c>
      <c r="B843" t="s">
        <v>906</v>
      </c>
      <c r="C843" s="1">
        <v>45408</v>
      </c>
      <c r="D843" s="1">
        <v>45453</v>
      </c>
      <c r="E843">
        <v>2302.83</v>
      </c>
      <c r="F843" t="s">
        <v>912</v>
      </c>
      <c r="G843" t="s">
        <v>918</v>
      </c>
      <c r="H843" s="1">
        <v>45453</v>
      </c>
      <c r="I843" t="s">
        <v>919</v>
      </c>
      <c r="J843" t="b">
        <f t="shared" si="91"/>
        <v>0</v>
      </c>
      <c r="K843" s="3">
        <f t="shared" ca="1" si="92"/>
        <v>45</v>
      </c>
      <c r="L843" s="3">
        <f t="shared" ca="1" si="93"/>
        <v>0</v>
      </c>
      <c r="M843" t="str">
        <f t="shared" ca="1" si="94"/>
        <v>On Time</v>
      </c>
      <c r="N843">
        <f t="shared" si="96"/>
        <v>0</v>
      </c>
      <c r="O843" t="str" cm="1">
        <f t="array" aca="1" ref="O843" ca="1">_xlfn.IFS(
L843&lt;=0,"Not Due",
L843&lt;=30,"0–30 Days",
L843&lt;=60,"31–60 Days",
L843&lt;=90,"61–90 Days",
L843&lt;=180,"91–180 Days",
L843&lt;=365,"181–365 Days",
L843&gt;365,"365+ Days (High Risk)"
)</f>
        <v>Not Due</v>
      </c>
      <c r="P843">
        <f t="shared" si="97"/>
        <v>2302.83</v>
      </c>
      <c r="Q843" s="3">
        <f t="shared" ca="1" si="95"/>
        <v>0</v>
      </c>
    </row>
    <row r="844" spans="1:17" x14ac:dyDescent="0.25">
      <c r="A844" t="s">
        <v>848</v>
      </c>
      <c r="B844" t="s">
        <v>907</v>
      </c>
      <c r="C844" s="1">
        <v>45715</v>
      </c>
      <c r="D844" s="1">
        <v>45760</v>
      </c>
      <c r="E844">
        <v>6136.41</v>
      </c>
      <c r="F844" t="s">
        <v>914</v>
      </c>
      <c r="G844" t="s">
        <v>917</v>
      </c>
      <c r="I844" t="s">
        <v>919</v>
      </c>
      <c r="J844" t="b">
        <f t="shared" si="91"/>
        <v>1</v>
      </c>
      <c r="K844" s="3">
        <f t="shared" ca="1" si="92"/>
        <v>336</v>
      </c>
      <c r="L844" s="3">
        <f t="shared" ca="1" si="93"/>
        <v>291</v>
      </c>
      <c r="M844" t="str">
        <f t="shared" ca="1" si="94"/>
        <v>Overdue</v>
      </c>
      <c r="N844">
        <f t="shared" si="96"/>
        <v>6136.41</v>
      </c>
      <c r="O844" t="str" cm="1">
        <f t="array" aca="1" ref="O844" ca="1">_xlfn.IFS(
L844&lt;=0,"Not Due",
L844&lt;=30,"0–30 Days",
L844&lt;=60,"31–60 Days",
L844&lt;=90,"61–90 Days",
L844&lt;=180,"91–180 Days",
L844&lt;=365,"181–365 Days",
L844&gt;365,"365+ Days (High Risk)"
)</f>
        <v>181–365 Days</v>
      </c>
      <c r="P844">
        <f t="shared" si="97"/>
        <v>0</v>
      </c>
      <c r="Q844" s="3">
        <f t="shared" ca="1" si="95"/>
        <v>6136.41</v>
      </c>
    </row>
    <row r="845" spans="1:17" x14ac:dyDescent="0.25">
      <c r="A845" t="s">
        <v>849</v>
      </c>
      <c r="B845" t="s">
        <v>907</v>
      </c>
      <c r="C845" s="1">
        <v>45314</v>
      </c>
      <c r="D845" s="1">
        <v>45359</v>
      </c>
      <c r="E845">
        <v>679.54</v>
      </c>
      <c r="F845" t="s">
        <v>911</v>
      </c>
      <c r="G845" t="s">
        <v>917</v>
      </c>
      <c r="I845" t="s">
        <v>919</v>
      </c>
      <c r="J845" t="b">
        <f t="shared" si="91"/>
        <v>1</v>
      </c>
      <c r="K845" s="3">
        <f t="shared" ca="1" si="92"/>
        <v>737</v>
      </c>
      <c r="L845" s="3">
        <f t="shared" ca="1" si="93"/>
        <v>692</v>
      </c>
      <c r="M845" t="str">
        <f t="shared" ca="1" si="94"/>
        <v>Overdue</v>
      </c>
      <c r="N845">
        <f t="shared" si="96"/>
        <v>679.54</v>
      </c>
      <c r="O845" t="str" cm="1">
        <f t="array" aca="1" ref="O845" ca="1">_xlfn.IFS(
L845&lt;=0,"Not Due",
L845&lt;=30,"0–30 Days",
L845&lt;=60,"31–60 Days",
L845&lt;=90,"61–90 Days",
L845&lt;=180,"91–180 Days",
L845&lt;=365,"181–365 Days",
L845&gt;365,"365+ Days (High Risk)"
)</f>
        <v>365+ Days (High Risk)</v>
      </c>
      <c r="P845">
        <f t="shared" si="97"/>
        <v>0</v>
      </c>
      <c r="Q845" s="3">
        <f t="shared" ca="1" si="95"/>
        <v>679.54</v>
      </c>
    </row>
    <row r="846" spans="1:17" x14ac:dyDescent="0.25">
      <c r="A846" t="s">
        <v>850</v>
      </c>
      <c r="B846" t="s">
        <v>908</v>
      </c>
      <c r="C846" s="1">
        <v>44966</v>
      </c>
      <c r="D846" s="1">
        <v>45011</v>
      </c>
      <c r="E846">
        <v>6397.31</v>
      </c>
      <c r="F846" t="s">
        <v>912</v>
      </c>
      <c r="G846" t="s">
        <v>916</v>
      </c>
      <c r="I846" t="s">
        <v>919</v>
      </c>
      <c r="J846" t="b">
        <f t="shared" si="91"/>
        <v>1</v>
      </c>
      <c r="K846" s="3">
        <f t="shared" ca="1" si="92"/>
        <v>1085</v>
      </c>
      <c r="L846" s="3">
        <f t="shared" ca="1" si="93"/>
        <v>1040</v>
      </c>
      <c r="M846" t="str">
        <f t="shared" ca="1" si="94"/>
        <v>Overdue</v>
      </c>
      <c r="N846">
        <f t="shared" si="96"/>
        <v>6397.31</v>
      </c>
      <c r="O846" t="str" cm="1">
        <f t="array" aca="1" ref="O846" ca="1">_xlfn.IFS(
L846&lt;=0,"Not Due",
L846&lt;=30,"0–30 Days",
L846&lt;=60,"31–60 Days",
L846&lt;=90,"61–90 Days",
L846&lt;=180,"91–180 Days",
L846&lt;=365,"181–365 Days",
L846&gt;365,"365+ Days (High Risk)"
)</f>
        <v>365+ Days (High Risk)</v>
      </c>
      <c r="P846">
        <f t="shared" si="97"/>
        <v>0</v>
      </c>
      <c r="Q846" s="3">
        <f t="shared" ca="1" si="95"/>
        <v>6397.31</v>
      </c>
    </row>
    <row r="847" spans="1:17" x14ac:dyDescent="0.25">
      <c r="A847" t="s">
        <v>851</v>
      </c>
      <c r="B847" t="s">
        <v>910</v>
      </c>
      <c r="C847" s="1">
        <v>45773</v>
      </c>
      <c r="D847" s="1">
        <v>45818</v>
      </c>
      <c r="E847">
        <v>6130.22</v>
      </c>
      <c r="F847" t="s">
        <v>913</v>
      </c>
      <c r="G847" t="s">
        <v>918</v>
      </c>
      <c r="H847" s="1">
        <v>45818</v>
      </c>
      <c r="I847" t="s">
        <v>919</v>
      </c>
      <c r="J847" t="b">
        <f t="shared" si="91"/>
        <v>0</v>
      </c>
      <c r="K847" s="3">
        <f t="shared" ca="1" si="92"/>
        <v>45</v>
      </c>
      <c r="L847" s="3">
        <f t="shared" ca="1" si="93"/>
        <v>0</v>
      </c>
      <c r="M847" t="str">
        <f t="shared" ca="1" si="94"/>
        <v>On Time</v>
      </c>
      <c r="N847">
        <f t="shared" si="96"/>
        <v>0</v>
      </c>
      <c r="O847" t="str" cm="1">
        <f t="array" aca="1" ref="O847" ca="1">_xlfn.IFS(
L847&lt;=0,"Not Due",
L847&lt;=30,"0–30 Days",
L847&lt;=60,"31–60 Days",
L847&lt;=90,"61–90 Days",
L847&lt;=180,"91–180 Days",
L847&lt;=365,"181–365 Days",
L847&gt;365,"365+ Days (High Risk)"
)</f>
        <v>Not Due</v>
      </c>
      <c r="P847">
        <f t="shared" si="97"/>
        <v>6130.22</v>
      </c>
      <c r="Q847" s="3">
        <f t="shared" ca="1" si="95"/>
        <v>0</v>
      </c>
    </row>
    <row r="848" spans="1:17" x14ac:dyDescent="0.25">
      <c r="A848" t="s">
        <v>852</v>
      </c>
      <c r="B848" t="s">
        <v>909</v>
      </c>
      <c r="C848" s="1">
        <v>44940</v>
      </c>
      <c r="D848" s="1">
        <v>44985</v>
      </c>
      <c r="E848">
        <v>7832.04</v>
      </c>
      <c r="F848" t="s">
        <v>915</v>
      </c>
      <c r="G848" t="s">
        <v>918</v>
      </c>
      <c r="H848" s="1">
        <v>44985</v>
      </c>
      <c r="I848" t="s">
        <v>919</v>
      </c>
      <c r="J848" t="b">
        <f t="shared" si="91"/>
        <v>0</v>
      </c>
      <c r="K848" s="3">
        <f t="shared" ca="1" si="92"/>
        <v>45</v>
      </c>
      <c r="L848" s="3">
        <f t="shared" ca="1" si="93"/>
        <v>0</v>
      </c>
      <c r="M848" t="str">
        <f t="shared" ca="1" si="94"/>
        <v>On Time</v>
      </c>
      <c r="N848">
        <f t="shared" si="96"/>
        <v>0</v>
      </c>
      <c r="O848" t="str" cm="1">
        <f t="array" aca="1" ref="O848" ca="1">_xlfn.IFS(
L848&lt;=0,"Not Due",
L848&lt;=30,"0–30 Days",
L848&lt;=60,"31–60 Days",
L848&lt;=90,"61–90 Days",
L848&lt;=180,"91–180 Days",
L848&lt;=365,"181–365 Days",
L848&gt;365,"365+ Days (High Risk)"
)</f>
        <v>Not Due</v>
      </c>
      <c r="P848">
        <f t="shared" si="97"/>
        <v>7832.04</v>
      </c>
      <c r="Q848" s="3">
        <f t="shared" ca="1" si="95"/>
        <v>0</v>
      </c>
    </row>
    <row r="849" spans="1:17" x14ac:dyDescent="0.25">
      <c r="A849" t="s">
        <v>853</v>
      </c>
      <c r="B849" t="s">
        <v>907</v>
      </c>
      <c r="C849" s="1">
        <v>45588</v>
      </c>
      <c r="D849" s="1">
        <v>45633</v>
      </c>
      <c r="E849">
        <v>4671.99</v>
      </c>
      <c r="F849" t="s">
        <v>914</v>
      </c>
      <c r="G849" t="s">
        <v>916</v>
      </c>
      <c r="I849" t="s">
        <v>919</v>
      </c>
      <c r="J849" t="b">
        <f t="shared" si="91"/>
        <v>1</v>
      </c>
      <c r="K849" s="3">
        <f t="shared" ca="1" si="92"/>
        <v>463</v>
      </c>
      <c r="L849" s="3">
        <f t="shared" ca="1" si="93"/>
        <v>418</v>
      </c>
      <c r="M849" t="str">
        <f t="shared" ca="1" si="94"/>
        <v>Overdue</v>
      </c>
      <c r="N849">
        <f t="shared" si="96"/>
        <v>4671.99</v>
      </c>
      <c r="O849" t="str" cm="1">
        <f t="array" aca="1" ref="O849" ca="1">_xlfn.IFS(
L849&lt;=0,"Not Due",
L849&lt;=30,"0–30 Days",
L849&lt;=60,"31–60 Days",
L849&lt;=90,"61–90 Days",
L849&lt;=180,"91–180 Days",
L849&lt;=365,"181–365 Days",
L849&gt;365,"365+ Days (High Risk)"
)</f>
        <v>365+ Days (High Risk)</v>
      </c>
      <c r="P849">
        <f t="shared" si="97"/>
        <v>0</v>
      </c>
      <c r="Q849" s="3">
        <f t="shared" ca="1" si="95"/>
        <v>4671.99</v>
      </c>
    </row>
    <row r="850" spans="1:17" x14ac:dyDescent="0.25">
      <c r="A850" t="s">
        <v>854</v>
      </c>
      <c r="B850" t="s">
        <v>906</v>
      </c>
      <c r="C850" s="1">
        <v>45305</v>
      </c>
      <c r="D850" s="1">
        <v>45350</v>
      </c>
      <c r="E850">
        <v>4213.26</v>
      </c>
      <c r="F850" t="s">
        <v>914</v>
      </c>
      <c r="G850" t="s">
        <v>916</v>
      </c>
      <c r="I850" t="s">
        <v>919</v>
      </c>
      <c r="J850" t="b">
        <f t="shared" si="91"/>
        <v>1</v>
      </c>
      <c r="K850" s="3">
        <f t="shared" ca="1" si="92"/>
        <v>746</v>
      </c>
      <c r="L850" s="3">
        <f t="shared" ca="1" si="93"/>
        <v>701</v>
      </c>
      <c r="M850" t="str">
        <f t="shared" ca="1" si="94"/>
        <v>Overdue</v>
      </c>
      <c r="N850">
        <f t="shared" si="96"/>
        <v>4213.26</v>
      </c>
      <c r="O850" t="str" cm="1">
        <f t="array" aca="1" ref="O850" ca="1">_xlfn.IFS(
L850&lt;=0,"Not Due",
L850&lt;=30,"0–30 Days",
L850&lt;=60,"31–60 Days",
L850&lt;=90,"61–90 Days",
L850&lt;=180,"91–180 Days",
L850&lt;=365,"181–365 Days",
L850&gt;365,"365+ Days (High Risk)"
)</f>
        <v>365+ Days (High Risk)</v>
      </c>
      <c r="P850">
        <f t="shared" si="97"/>
        <v>0</v>
      </c>
      <c r="Q850" s="3">
        <f t="shared" ca="1" si="95"/>
        <v>4213.26</v>
      </c>
    </row>
    <row r="851" spans="1:17" x14ac:dyDescent="0.25">
      <c r="A851" t="s">
        <v>855</v>
      </c>
      <c r="B851" t="s">
        <v>910</v>
      </c>
      <c r="C851" s="1">
        <v>45047</v>
      </c>
      <c r="D851" s="1">
        <v>45092</v>
      </c>
      <c r="E851">
        <v>7245.84</v>
      </c>
      <c r="F851" t="s">
        <v>915</v>
      </c>
      <c r="G851" t="s">
        <v>916</v>
      </c>
      <c r="I851" t="s">
        <v>919</v>
      </c>
      <c r="J851" t="b">
        <f t="shared" si="91"/>
        <v>1</v>
      </c>
      <c r="K851" s="3">
        <f t="shared" ca="1" si="92"/>
        <v>1004</v>
      </c>
      <c r="L851" s="3">
        <f t="shared" ca="1" si="93"/>
        <v>959</v>
      </c>
      <c r="M851" t="str">
        <f t="shared" ca="1" si="94"/>
        <v>Overdue</v>
      </c>
      <c r="N851">
        <f t="shared" si="96"/>
        <v>7245.84</v>
      </c>
      <c r="O851" t="str" cm="1">
        <f t="array" aca="1" ref="O851" ca="1">_xlfn.IFS(
L851&lt;=0,"Not Due",
L851&lt;=30,"0–30 Days",
L851&lt;=60,"31–60 Days",
L851&lt;=90,"61–90 Days",
L851&lt;=180,"91–180 Days",
L851&lt;=365,"181–365 Days",
L851&gt;365,"365+ Days (High Risk)"
)</f>
        <v>365+ Days (High Risk)</v>
      </c>
      <c r="P851">
        <f t="shared" si="97"/>
        <v>0</v>
      </c>
      <c r="Q851" s="3">
        <f t="shared" ca="1" si="95"/>
        <v>7245.84</v>
      </c>
    </row>
    <row r="852" spans="1:17" x14ac:dyDescent="0.25">
      <c r="A852" t="s">
        <v>856</v>
      </c>
      <c r="B852" t="s">
        <v>906</v>
      </c>
      <c r="C852" s="1">
        <v>45155</v>
      </c>
      <c r="D852" s="1">
        <v>45200</v>
      </c>
      <c r="E852">
        <v>3490.61</v>
      </c>
      <c r="F852" t="s">
        <v>912</v>
      </c>
      <c r="G852" t="s">
        <v>916</v>
      </c>
      <c r="I852" t="s">
        <v>919</v>
      </c>
      <c r="J852" t="b">
        <f t="shared" si="91"/>
        <v>1</v>
      </c>
      <c r="K852" s="3">
        <f t="shared" ca="1" si="92"/>
        <v>896</v>
      </c>
      <c r="L852" s="3">
        <f t="shared" ca="1" si="93"/>
        <v>851</v>
      </c>
      <c r="M852" t="str">
        <f t="shared" ca="1" si="94"/>
        <v>Overdue</v>
      </c>
      <c r="N852">
        <f t="shared" si="96"/>
        <v>3490.61</v>
      </c>
      <c r="O852" t="str" cm="1">
        <f t="array" aca="1" ref="O852" ca="1">_xlfn.IFS(
L852&lt;=0,"Not Due",
L852&lt;=30,"0–30 Days",
L852&lt;=60,"31–60 Days",
L852&lt;=90,"61–90 Days",
L852&lt;=180,"91–180 Days",
L852&lt;=365,"181–365 Days",
L852&gt;365,"365+ Days (High Risk)"
)</f>
        <v>365+ Days (High Risk)</v>
      </c>
      <c r="P852">
        <f t="shared" si="97"/>
        <v>0</v>
      </c>
      <c r="Q852" s="3">
        <f t="shared" ca="1" si="95"/>
        <v>3490.61</v>
      </c>
    </row>
    <row r="853" spans="1:17" x14ac:dyDescent="0.25">
      <c r="A853" t="s">
        <v>857</v>
      </c>
      <c r="B853" t="s">
        <v>908</v>
      </c>
      <c r="C853" s="1">
        <v>45256</v>
      </c>
      <c r="D853" s="1">
        <v>45301</v>
      </c>
      <c r="E853">
        <v>4514.91</v>
      </c>
      <c r="F853" t="s">
        <v>911</v>
      </c>
      <c r="G853" t="s">
        <v>917</v>
      </c>
      <c r="I853" t="s">
        <v>919</v>
      </c>
      <c r="J853" t="b">
        <f t="shared" si="91"/>
        <v>1</v>
      </c>
      <c r="K853" s="3">
        <f t="shared" ca="1" si="92"/>
        <v>795</v>
      </c>
      <c r="L853" s="3">
        <f t="shared" ca="1" si="93"/>
        <v>750</v>
      </c>
      <c r="M853" t="str">
        <f t="shared" ca="1" si="94"/>
        <v>Overdue</v>
      </c>
      <c r="N853">
        <f t="shared" si="96"/>
        <v>4514.91</v>
      </c>
      <c r="O853" t="str" cm="1">
        <f t="array" aca="1" ref="O853" ca="1">_xlfn.IFS(
L853&lt;=0,"Not Due",
L853&lt;=30,"0–30 Days",
L853&lt;=60,"31–60 Days",
L853&lt;=90,"61–90 Days",
L853&lt;=180,"91–180 Days",
L853&lt;=365,"181–365 Days",
L853&gt;365,"365+ Days (High Risk)"
)</f>
        <v>365+ Days (High Risk)</v>
      </c>
      <c r="P853">
        <f t="shared" si="97"/>
        <v>0</v>
      </c>
      <c r="Q853" s="3">
        <f t="shared" ca="1" si="95"/>
        <v>4514.91</v>
      </c>
    </row>
    <row r="854" spans="1:17" x14ac:dyDescent="0.25">
      <c r="A854" t="s">
        <v>858</v>
      </c>
      <c r="B854" t="s">
        <v>908</v>
      </c>
      <c r="C854" s="1">
        <v>45340</v>
      </c>
      <c r="D854" s="1">
        <v>45385</v>
      </c>
      <c r="E854">
        <v>507</v>
      </c>
      <c r="F854" t="s">
        <v>913</v>
      </c>
      <c r="G854" t="s">
        <v>918</v>
      </c>
      <c r="H854" s="1">
        <v>45385</v>
      </c>
      <c r="I854" t="s">
        <v>919</v>
      </c>
      <c r="J854" t="b">
        <f t="shared" si="91"/>
        <v>0</v>
      </c>
      <c r="K854" s="3">
        <f t="shared" ca="1" si="92"/>
        <v>45</v>
      </c>
      <c r="L854" s="3">
        <f t="shared" ca="1" si="93"/>
        <v>0</v>
      </c>
      <c r="M854" t="str">
        <f t="shared" ca="1" si="94"/>
        <v>On Time</v>
      </c>
      <c r="N854">
        <f t="shared" si="96"/>
        <v>0</v>
      </c>
      <c r="O854" t="str" cm="1">
        <f t="array" aca="1" ref="O854" ca="1">_xlfn.IFS(
L854&lt;=0,"Not Due",
L854&lt;=30,"0–30 Days",
L854&lt;=60,"31–60 Days",
L854&lt;=90,"61–90 Days",
L854&lt;=180,"91–180 Days",
L854&lt;=365,"181–365 Days",
L854&gt;365,"365+ Days (High Risk)"
)</f>
        <v>Not Due</v>
      </c>
      <c r="P854">
        <f t="shared" si="97"/>
        <v>507</v>
      </c>
      <c r="Q854" s="3">
        <f t="shared" ca="1" si="95"/>
        <v>0</v>
      </c>
    </row>
    <row r="855" spans="1:17" x14ac:dyDescent="0.25">
      <c r="A855" t="s">
        <v>859</v>
      </c>
      <c r="B855" t="s">
        <v>906</v>
      </c>
      <c r="C855" s="1">
        <v>44935</v>
      </c>
      <c r="D855" s="1">
        <v>44980</v>
      </c>
      <c r="E855">
        <v>860.68</v>
      </c>
      <c r="F855" t="s">
        <v>914</v>
      </c>
      <c r="G855" t="s">
        <v>917</v>
      </c>
      <c r="I855" t="s">
        <v>919</v>
      </c>
      <c r="J855" t="b">
        <f t="shared" si="91"/>
        <v>1</v>
      </c>
      <c r="K855" s="3">
        <f t="shared" ca="1" si="92"/>
        <v>1116</v>
      </c>
      <c r="L855" s="3">
        <f t="shared" ca="1" si="93"/>
        <v>1071</v>
      </c>
      <c r="M855" t="str">
        <f t="shared" ca="1" si="94"/>
        <v>Overdue</v>
      </c>
      <c r="N855">
        <f t="shared" si="96"/>
        <v>860.68</v>
      </c>
      <c r="O855" t="str" cm="1">
        <f t="array" aca="1" ref="O855" ca="1">_xlfn.IFS(
L855&lt;=0,"Not Due",
L855&lt;=30,"0–30 Days",
L855&lt;=60,"31–60 Days",
L855&lt;=90,"61–90 Days",
L855&lt;=180,"91–180 Days",
L855&lt;=365,"181–365 Days",
L855&gt;365,"365+ Days (High Risk)"
)</f>
        <v>365+ Days (High Risk)</v>
      </c>
      <c r="P855">
        <f t="shared" si="97"/>
        <v>0</v>
      </c>
      <c r="Q855" s="3">
        <f t="shared" ca="1" si="95"/>
        <v>860.68</v>
      </c>
    </row>
    <row r="856" spans="1:17" x14ac:dyDescent="0.25">
      <c r="A856" t="s">
        <v>860</v>
      </c>
      <c r="B856" t="s">
        <v>910</v>
      </c>
      <c r="C856" s="1">
        <v>45794</v>
      </c>
      <c r="D856" s="1">
        <v>45839</v>
      </c>
      <c r="E856">
        <v>3179.28</v>
      </c>
      <c r="F856" t="s">
        <v>913</v>
      </c>
      <c r="G856" t="s">
        <v>917</v>
      </c>
      <c r="I856" t="s">
        <v>919</v>
      </c>
      <c r="J856" t="b">
        <f t="shared" si="91"/>
        <v>1</v>
      </c>
      <c r="K856" s="3">
        <f t="shared" ca="1" si="92"/>
        <v>257</v>
      </c>
      <c r="L856" s="3">
        <f t="shared" ca="1" si="93"/>
        <v>212</v>
      </c>
      <c r="M856" t="str">
        <f t="shared" ca="1" si="94"/>
        <v>Overdue</v>
      </c>
      <c r="N856">
        <f t="shared" si="96"/>
        <v>3179.28</v>
      </c>
      <c r="O856" t="str" cm="1">
        <f t="array" aca="1" ref="O856" ca="1">_xlfn.IFS(
L856&lt;=0,"Not Due",
L856&lt;=30,"0–30 Days",
L856&lt;=60,"31–60 Days",
L856&lt;=90,"61–90 Days",
L856&lt;=180,"91–180 Days",
L856&lt;=365,"181–365 Days",
L856&gt;365,"365+ Days (High Risk)"
)</f>
        <v>181–365 Days</v>
      </c>
      <c r="P856">
        <f t="shared" si="97"/>
        <v>0</v>
      </c>
      <c r="Q856" s="3">
        <f t="shared" ca="1" si="95"/>
        <v>3179.28</v>
      </c>
    </row>
    <row r="857" spans="1:17" x14ac:dyDescent="0.25">
      <c r="A857" t="s">
        <v>861</v>
      </c>
      <c r="B857" t="s">
        <v>908</v>
      </c>
      <c r="C857" s="1">
        <v>45184</v>
      </c>
      <c r="D857" s="1">
        <v>45229</v>
      </c>
      <c r="E857">
        <v>3603.83</v>
      </c>
      <c r="F857" t="s">
        <v>914</v>
      </c>
      <c r="G857" t="s">
        <v>918</v>
      </c>
      <c r="H857" s="1">
        <v>45229</v>
      </c>
      <c r="I857" t="s">
        <v>919</v>
      </c>
      <c r="J857" t="b">
        <f t="shared" si="91"/>
        <v>0</v>
      </c>
      <c r="K857" s="3">
        <f t="shared" ca="1" si="92"/>
        <v>45</v>
      </c>
      <c r="L857" s="3">
        <f t="shared" ca="1" si="93"/>
        <v>0</v>
      </c>
      <c r="M857" t="str">
        <f t="shared" ca="1" si="94"/>
        <v>On Time</v>
      </c>
      <c r="N857">
        <f t="shared" si="96"/>
        <v>0</v>
      </c>
      <c r="O857" t="str" cm="1">
        <f t="array" aca="1" ref="O857" ca="1">_xlfn.IFS(
L857&lt;=0,"Not Due",
L857&lt;=30,"0–30 Days",
L857&lt;=60,"31–60 Days",
L857&lt;=90,"61–90 Days",
L857&lt;=180,"91–180 Days",
L857&lt;=365,"181–365 Days",
L857&gt;365,"365+ Days (High Risk)"
)</f>
        <v>Not Due</v>
      </c>
      <c r="P857">
        <f t="shared" si="97"/>
        <v>3603.83</v>
      </c>
      <c r="Q857" s="3">
        <f t="shared" ca="1" si="95"/>
        <v>0</v>
      </c>
    </row>
    <row r="858" spans="1:17" x14ac:dyDescent="0.25">
      <c r="A858" t="s">
        <v>862</v>
      </c>
      <c r="B858" t="s">
        <v>909</v>
      </c>
      <c r="C858" s="1">
        <v>45258</v>
      </c>
      <c r="D858" s="1">
        <v>45303</v>
      </c>
      <c r="E858">
        <v>267.24</v>
      </c>
      <c r="F858" t="s">
        <v>915</v>
      </c>
      <c r="G858" t="s">
        <v>917</v>
      </c>
      <c r="I858" t="s">
        <v>919</v>
      </c>
      <c r="J858" t="b">
        <f t="shared" si="91"/>
        <v>1</v>
      </c>
      <c r="K858" s="3">
        <f t="shared" ca="1" si="92"/>
        <v>793</v>
      </c>
      <c r="L858" s="3">
        <f t="shared" ca="1" si="93"/>
        <v>748</v>
      </c>
      <c r="M858" t="str">
        <f t="shared" ca="1" si="94"/>
        <v>Overdue</v>
      </c>
      <c r="N858">
        <f t="shared" si="96"/>
        <v>267.24</v>
      </c>
      <c r="O858" t="str" cm="1">
        <f t="array" aca="1" ref="O858" ca="1">_xlfn.IFS(
L858&lt;=0,"Not Due",
L858&lt;=30,"0–30 Days",
L858&lt;=60,"31–60 Days",
L858&lt;=90,"61–90 Days",
L858&lt;=180,"91–180 Days",
L858&lt;=365,"181–365 Days",
L858&gt;365,"365+ Days (High Risk)"
)</f>
        <v>365+ Days (High Risk)</v>
      </c>
      <c r="P858">
        <f t="shared" si="97"/>
        <v>0</v>
      </c>
      <c r="Q858" s="3">
        <f t="shared" ca="1" si="95"/>
        <v>267.24</v>
      </c>
    </row>
    <row r="859" spans="1:17" x14ac:dyDescent="0.25">
      <c r="A859" t="s">
        <v>863</v>
      </c>
      <c r="B859" t="s">
        <v>908</v>
      </c>
      <c r="C859" s="1">
        <v>45805</v>
      </c>
      <c r="D859" s="1">
        <v>45850</v>
      </c>
      <c r="E859">
        <v>6493.35</v>
      </c>
      <c r="F859" t="s">
        <v>915</v>
      </c>
      <c r="G859" t="s">
        <v>918</v>
      </c>
      <c r="H859" s="1">
        <v>45850</v>
      </c>
      <c r="I859" t="s">
        <v>919</v>
      </c>
      <c r="J859" t="b">
        <f t="shared" si="91"/>
        <v>0</v>
      </c>
      <c r="K859" s="3">
        <f t="shared" ca="1" si="92"/>
        <v>45</v>
      </c>
      <c r="L859" s="3">
        <f t="shared" ca="1" si="93"/>
        <v>0</v>
      </c>
      <c r="M859" t="str">
        <f t="shared" ca="1" si="94"/>
        <v>On Time</v>
      </c>
      <c r="N859">
        <f t="shared" si="96"/>
        <v>0</v>
      </c>
      <c r="O859" t="str" cm="1">
        <f t="array" aca="1" ref="O859" ca="1">_xlfn.IFS(
L859&lt;=0,"Not Due",
L859&lt;=30,"0–30 Days",
L859&lt;=60,"31–60 Days",
L859&lt;=90,"61–90 Days",
L859&lt;=180,"91–180 Days",
L859&lt;=365,"181–365 Days",
L859&gt;365,"365+ Days (High Risk)"
)</f>
        <v>Not Due</v>
      </c>
      <c r="P859">
        <f t="shared" si="97"/>
        <v>6493.35</v>
      </c>
      <c r="Q859" s="3">
        <f t="shared" ca="1" si="95"/>
        <v>0</v>
      </c>
    </row>
    <row r="860" spans="1:17" x14ac:dyDescent="0.25">
      <c r="A860" t="s">
        <v>864</v>
      </c>
      <c r="B860" t="s">
        <v>910</v>
      </c>
      <c r="C860" s="1">
        <v>45168</v>
      </c>
      <c r="D860" s="1">
        <v>45213</v>
      </c>
      <c r="E860">
        <v>5155.55</v>
      </c>
      <c r="F860" t="s">
        <v>914</v>
      </c>
      <c r="G860" t="s">
        <v>916</v>
      </c>
      <c r="I860" t="s">
        <v>919</v>
      </c>
      <c r="J860" t="b">
        <f t="shared" si="91"/>
        <v>1</v>
      </c>
      <c r="K860" s="3">
        <f t="shared" ca="1" si="92"/>
        <v>883</v>
      </c>
      <c r="L860" s="3">
        <f t="shared" ca="1" si="93"/>
        <v>838</v>
      </c>
      <c r="M860" t="str">
        <f t="shared" ca="1" si="94"/>
        <v>Overdue</v>
      </c>
      <c r="N860">
        <f t="shared" si="96"/>
        <v>5155.55</v>
      </c>
      <c r="O860" t="str" cm="1">
        <f t="array" aca="1" ref="O860" ca="1">_xlfn.IFS(
L860&lt;=0,"Not Due",
L860&lt;=30,"0–30 Days",
L860&lt;=60,"31–60 Days",
L860&lt;=90,"61–90 Days",
L860&lt;=180,"91–180 Days",
L860&lt;=365,"181–365 Days",
L860&gt;365,"365+ Days (High Risk)"
)</f>
        <v>365+ Days (High Risk)</v>
      </c>
      <c r="P860">
        <f t="shared" si="97"/>
        <v>0</v>
      </c>
      <c r="Q860" s="3">
        <f t="shared" ca="1" si="95"/>
        <v>5155.55</v>
      </c>
    </row>
    <row r="861" spans="1:17" x14ac:dyDescent="0.25">
      <c r="A861" t="s">
        <v>865</v>
      </c>
      <c r="B861" t="s">
        <v>908</v>
      </c>
      <c r="C861" s="1">
        <v>45610</v>
      </c>
      <c r="D861" s="1">
        <v>45655</v>
      </c>
      <c r="E861">
        <v>5605.91</v>
      </c>
      <c r="F861" t="s">
        <v>911</v>
      </c>
      <c r="G861" t="s">
        <v>916</v>
      </c>
      <c r="I861" t="s">
        <v>919</v>
      </c>
      <c r="J861" t="b">
        <f t="shared" si="91"/>
        <v>1</v>
      </c>
      <c r="K861" s="3">
        <f t="shared" ca="1" si="92"/>
        <v>441</v>
      </c>
      <c r="L861" s="3">
        <f t="shared" ca="1" si="93"/>
        <v>396</v>
      </c>
      <c r="M861" t="str">
        <f t="shared" ca="1" si="94"/>
        <v>Overdue</v>
      </c>
      <c r="N861">
        <f t="shared" si="96"/>
        <v>5605.91</v>
      </c>
      <c r="O861" t="str" cm="1">
        <f t="array" aca="1" ref="O861" ca="1">_xlfn.IFS(
L861&lt;=0,"Not Due",
L861&lt;=30,"0–30 Days",
L861&lt;=60,"31–60 Days",
L861&lt;=90,"61–90 Days",
L861&lt;=180,"91–180 Days",
L861&lt;=365,"181–365 Days",
L861&gt;365,"365+ Days (High Risk)"
)</f>
        <v>365+ Days (High Risk)</v>
      </c>
      <c r="P861">
        <f t="shared" si="97"/>
        <v>0</v>
      </c>
      <c r="Q861" s="3">
        <f t="shared" ca="1" si="95"/>
        <v>5605.91</v>
      </c>
    </row>
    <row r="862" spans="1:17" x14ac:dyDescent="0.25">
      <c r="A862" t="s">
        <v>866</v>
      </c>
      <c r="B862" t="s">
        <v>906</v>
      </c>
      <c r="C862" s="1">
        <v>45694</v>
      </c>
      <c r="D862" s="1">
        <v>45739</v>
      </c>
      <c r="E862">
        <v>6041.09</v>
      </c>
      <c r="F862" t="s">
        <v>912</v>
      </c>
      <c r="G862" t="s">
        <v>916</v>
      </c>
      <c r="I862" t="s">
        <v>919</v>
      </c>
      <c r="J862" t="b">
        <f t="shared" si="91"/>
        <v>1</v>
      </c>
      <c r="K862" s="3">
        <f t="shared" ca="1" si="92"/>
        <v>357</v>
      </c>
      <c r="L862" s="3">
        <f t="shared" ca="1" si="93"/>
        <v>312</v>
      </c>
      <c r="M862" t="str">
        <f t="shared" ca="1" si="94"/>
        <v>Overdue</v>
      </c>
      <c r="N862">
        <f t="shared" si="96"/>
        <v>6041.09</v>
      </c>
      <c r="O862" t="str" cm="1">
        <f t="array" aca="1" ref="O862" ca="1">_xlfn.IFS(
L862&lt;=0,"Not Due",
L862&lt;=30,"0–30 Days",
L862&lt;=60,"31–60 Days",
L862&lt;=90,"61–90 Days",
L862&lt;=180,"91–180 Days",
L862&lt;=365,"181–365 Days",
L862&gt;365,"365+ Days (High Risk)"
)</f>
        <v>181–365 Days</v>
      </c>
      <c r="P862">
        <f t="shared" si="97"/>
        <v>0</v>
      </c>
      <c r="Q862" s="3">
        <f t="shared" ca="1" si="95"/>
        <v>6041.09</v>
      </c>
    </row>
    <row r="863" spans="1:17" x14ac:dyDescent="0.25">
      <c r="A863" t="s">
        <v>867</v>
      </c>
      <c r="B863" t="s">
        <v>908</v>
      </c>
      <c r="C863" s="1">
        <v>44952</v>
      </c>
      <c r="D863" s="1">
        <v>44997</v>
      </c>
      <c r="E863">
        <v>4640.58</v>
      </c>
      <c r="F863" t="s">
        <v>913</v>
      </c>
      <c r="G863" t="s">
        <v>917</v>
      </c>
      <c r="I863" t="s">
        <v>919</v>
      </c>
      <c r="J863" t="b">
        <f t="shared" si="91"/>
        <v>1</v>
      </c>
      <c r="K863" s="3">
        <f t="shared" ca="1" si="92"/>
        <v>1099</v>
      </c>
      <c r="L863" s="3">
        <f t="shared" ca="1" si="93"/>
        <v>1054</v>
      </c>
      <c r="M863" t="str">
        <f t="shared" ca="1" si="94"/>
        <v>Overdue</v>
      </c>
      <c r="N863">
        <f t="shared" si="96"/>
        <v>4640.58</v>
      </c>
      <c r="O863" t="str" cm="1">
        <f t="array" aca="1" ref="O863" ca="1">_xlfn.IFS(
L863&lt;=0,"Not Due",
L863&lt;=30,"0–30 Days",
L863&lt;=60,"31–60 Days",
L863&lt;=90,"61–90 Days",
L863&lt;=180,"91–180 Days",
L863&lt;=365,"181–365 Days",
L863&gt;365,"365+ Days (High Risk)"
)</f>
        <v>365+ Days (High Risk)</v>
      </c>
      <c r="P863">
        <f t="shared" si="97"/>
        <v>0</v>
      </c>
      <c r="Q863" s="3">
        <f t="shared" ca="1" si="95"/>
        <v>4640.58</v>
      </c>
    </row>
    <row r="864" spans="1:17" x14ac:dyDescent="0.25">
      <c r="A864" t="s">
        <v>868</v>
      </c>
      <c r="B864" t="s">
        <v>910</v>
      </c>
      <c r="C864" s="1">
        <v>44972</v>
      </c>
      <c r="D864" s="1">
        <v>45017</v>
      </c>
      <c r="E864">
        <v>733.3</v>
      </c>
      <c r="F864" t="s">
        <v>913</v>
      </c>
      <c r="G864" t="s">
        <v>916</v>
      </c>
      <c r="I864" t="s">
        <v>919</v>
      </c>
      <c r="J864" t="b">
        <f t="shared" si="91"/>
        <v>1</v>
      </c>
      <c r="K864" s="3">
        <f t="shared" ca="1" si="92"/>
        <v>1079</v>
      </c>
      <c r="L864" s="3">
        <f t="shared" ca="1" si="93"/>
        <v>1034</v>
      </c>
      <c r="M864" t="str">
        <f t="shared" ca="1" si="94"/>
        <v>Overdue</v>
      </c>
      <c r="N864">
        <f t="shared" si="96"/>
        <v>733.3</v>
      </c>
      <c r="O864" t="str" cm="1">
        <f t="array" aca="1" ref="O864" ca="1">_xlfn.IFS(
L864&lt;=0,"Not Due",
L864&lt;=30,"0–30 Days",
L864&lt;=60,"31–60 Days",
L864&lt;=90,"61–90 Days",
L864&lt;=180,"91–180 Days",
L864&lt;=365,"181–365 Days",
L864&gt;365,"365+ Days (High Risk)"
)</f>
        <v>365+ Days (High Risk)</v>
      </c>
      <c r="P864">
        <f t="shared" si="97"/>
        <v>0</v>
      </c>
      <c r="Q864" s="3">
        <f t="shared" ca="1" si="95"/>
        <v>733.3</v>
      </c>
    </row>
    <row r="865" spans="1:17" x14ac:dyDescent="0.25">
      <c r="A865" t="s">
        <v>869</v>
      </c>
      <c r="B865" t="s">
        <v>910</v>
      </c>
      <c r="C865" s="1">
        <v>45073</v>
      </c>
      <c r="D865" s="1">
        <v>45118</v>
      </c>
      <c r="E865">
        <v>5029.3999999999996</v>
      </c>
      <c r="F865" t="s">
        <v>915</v>
      </c>
      <c r="G865" t="s">
        <v>918</v>
      </c>
      <c r="H865" s="1">
        <v>45118</v>
      </c>
      <c r="I865" t="s">
        <v>919</v>
      </c>
      <c r="J865" t="b">
        <f t="shared" si="91"/>
        <v>0</v>
      </c>
      <c r="K865" s="3">
        <f t="shared" ca="1" si="92"/>
        <v>45</v>
      </c>
      <c r="L865" s="3">
        <f t="shared" ca="1" si="93"/>
        <v>0</v>
      </c>
      <c r="M865" t="str">
        <f t="shared" ca="1" si="94"/>
        <v>On Time</v>
      </c>
      <c r="N865">
        <f t="shared" si="96"/>
        <v>0</v>
      </c>
      <c r="O865" t="str" cm="1">
        <f t="array" aca="1" ref="O865" ca="1">_xlfn.IFS(
L865&lt;=0,"Not Due",
L865&lt;=30,"0–30 Days",
L865&lt;=60,"31–60 Days",
L865&lt;=90,"61–90 Days",
L865&lt;=180,"91–180 Days",
L865&lt;=365,"181–365 Days",
L865&gt;365,"365+ Days (High Risk)"
)</f>
        <v>Not Due</v>
      </c>
      <c r="P865">
        <f t="shared" si="97"/>
        <v>5029.3999999999996</v>
      </c>
      <c r="Q865" s="3">
        <f t="shared" ca="1" si="95"/>
        <v>0</v>
      </c>
    </row>
    <row r="866" spans="1:17" x14ac:dyDescent="0.25">
      <c r="A866" t="s">
        <v>870</v>
      </c>
      <c r="B866" t="s">
        <v>907</v>
      </c>
      <c r="C866" s="1">
        <v>44934</v>
      </c>
      <c r="D866" s="1">
        <v>44979</v>
      </c>
      <c r="E866">
        <v>5824.57</v>
      </c>
      <c r="F866" t="s">
        <v>911</v>
      </c>
      <c r="G866" t="s">
        <v>918</v>
      </c>
      <c r="H866" s="1">
        <v>44979</v>
      </c>
      <c r="I866" t="s">
        <v>919</v>
      </c>
      <c r="J866" t="b">
        <f t="shared" si="91"/>
        <v>0</v>
      </c>
      <c r="K866" s="3">
        <f t="shared" ca="1" si="92"/>
        <v>45</v>
      </c>
      <c r="L866" s="3">
        <f t="shared" ca="1" si="93"/>
        <v>0</v>
      </c>
      <c r="M866" t="str">
        <f t="shared" ca="1" si="94"/>
        <v>On Time</v>
      </c>
      <c r="N866">
        <f t="shared" si="96"/>
        <v>0</v>
      </c>
      <c r="O866" t="str" cm="1">
        <f t="array" aca="1" ref="O866" ca="1">_xlfn.IFS(
L866&lt;=0,"Not Due",
L866&lt;=30,"0–30 Days",
L866&lt;=60,"31–60 Days",
L866&lt;=90,"61–90 Days",
L866&lt;=180,"91–180 Days",
L866&lt;=365,"181–365 Days",
L866&gt;365,"365+ Days (High Risk)"
)</f>
        <v>Not Due</v>
      </c>
      <c r="P866">
        <f t="shared" si="97"/>
        <v>5824.57</v>
      </c>
      <c r="Q866" s="3">
        <f t="shared" ca="1" si="95"/>
        <v>0</v>
      </c>
    </row>
    <row r="867" spans="1:17" x14ac:dyDescent="0.25">
      <c r="A867" t="s">
        <v>871</v>
      </c>
      <c r="B867" t="s">
        <v>908</v>
      </c>
      <c r="C867" s="1">
        <v>45124</v>
      </c>
      <c r="D867" s="1">
        <v>45169</v>
      </c>
      <c r="E867">
        <v>3219.89</v>
      </c>
      <c r="F867" t="s">
        <v>912</v>
      </c>
      <c r="G867" t="s">
        <v>917</v>
      </c>
      <c r="I867" t="s">
        <v>919</v>
      </c>
      <c r="J867" t="b">
        <f t="shared" si="91"/>
        <v>1</v>
      </c>
      <c r="K867" s="3">
        <f t="shared" ca="1" si="92"/>
        <v>927</v>
      </c>
      <c r="L867" s="3">
        <f t="shared" ca="1" si="93"/>
        <v>882</v>
      </c>
      <c r="M867" t="str">
        <f t="shared" ca="1" si="94"/>
        <v>Overdue</v>
      </c>
      <c r="N867">
        <f t="shared" si="96"/>
        <v>3219.89</v>
      </c>
      <c r="O867" t="str" cm="1">
        <f t="array" aca="1" ref="O867" ca="1">_xlfn.IFS(
L867&lt;=0,"Not Due",
L867&lt;=30,"0–30 Days",
L867&lt;=60,"31–60 Days",
L867&lt;=90,"61–90 Days",
L867&lt;=180,"91–180 Days",
L867&lt;=365,"181–365 Days",
L867&gt;365,"365+ Days (High Risk)"
)</f>
        <v>365+ Days (High Risk)</v>
      </c>
      <c r="P867">
        <f t="shared" si="97"/>
        <v>0</v>
      </c>
      <c r="Q867" s="3">
        <f t="shared" ca="1" si="95"/>
        <v>3219.89</v>
      </c>
    </row>
    <row r="868" spans="1:17" x14ac:dyDescent="0.25">
      <c r="A868" t="s">
        <v>872</v>
      </c>
      <c r="B868" t="s">
        <v>910</v>
      </c>
      <c r="C868" s="1">
        <v>45534</v>
      </c>
      <c r="D868" s="1">
        <v>45579</v>
      </c>
      <c r="E868">
        <v>2856.82</v>
      </c>
      <c r="F868" t="s">
        <v>911</v>
      </c>
      <c r="G868" t="s">
        <v>917</v>
      </c>
      <c r="I868" t="s">
        <v>919</v>
      </c>
      <c r="J868" t="b">
        <f t="shared" si="91"/>
        <v>1</v>
      </c>
      <c r="K868" s="3">
        <f t="shared" ca="1" si="92"/>
        <v>517</v>
      </c>
      <c r="L868" s="3">
        <f t="shared" ca="1" si="93"/>
        <v>472</v>
      </c>
      <c r="M868" t="str">
        <f t="shared" ca="1" si="94"/>
        <v>Overdue</v>
      </c>
      <c r="N868">
        <f t="shared" si="96"/>
        <v>2856.82</v>
      </c>
      <c r="O868" t="str" cm="1">
        <f t="array" aca="1" ref="O868" ca="1">_xlfn.IFS(
L868&lt;=0,"Not Due",
L868&lt;=30,"0–30 Days",
L868&lt;=60,"31–60 Days",
L868&lt;=90,"61–90 Days",
L868&lt;=180,"91–180 Days",
L868&lt;=365,"181–365 Days",
L868&gt;365,"365+ Days (High Risk)"
)</f>
        <v>365+ Days (High Risk)</v>
      </c>
      <c r="P868">
        <f t="shared" si="97"/>
        <v>0</v>
      </c>
      <c r="Q868" s="3">
        <f t="shared" ca="1" si="95"/>
        <v>2856.82</v>
      </c>
    </row>
    <row r="869" spans="1:17" x14ac:dyDescent="0.25">
      <c r="A869" t="s">
        <v>873</v>
      </c>
      <c r="B869" t="s">
        <v>907</v>
      </c>
      <c r="C869" s="1">
        <v>45564</v>
      </c>
      <c r="D869" s="1">
        <v>45609</v>
      </c>
      <c r="E869">
        <v>4095.19</v>
      </c>
      <c r="F869" t="s">
        <v>915</v>
      </c>
      <c r="G869" t="s">
        <v>916</v>
      </c>
      <c r="I869" t="s">
        <v>919</v>
      </c>
      <c r="J869" t="b">
        <f t="shared" si="91"/>
        <v>1</v>
      </c>
      <c r="K869" s="3">
        <f t="shared" ca="1" si="92"/>
        <v>487</v>
      </c>
      <c r="L869" s="3">
        <f t="shared" ca="1" si="93"/>
        <v>442</v>
      </c>
      <c r="M869" t="str">
        <f t="shared" ca="1" si="94"/>
        <v>Overdue</v>
      </c>
      <c r="N869">
        <f t="shared" si="96"/>
        <v>4095.19</v>
      </c>
      <c r="O869" t="str" cm="1">
        <f t="array" aca="1" ref="O869" ca="1">_xlfn.IFS(
L869&lt;=0,"Not Due",
L869&lt;=30,"0–30 Days",
L869&lt;=60,"31–60 Days",
L869&lt;=90,"61–90 Days",
L869&lt;=180,"91–180 Days",
L869&lt;=365,"181–365 Days",
L869&gt;365,"365+ Days (High Risk)"
)</f>
        <v>365+ Days (High Risk)</v>
      </c>
      <c r="P869">
        <f t="shared" si="97"/>
        <v>0</v>
      </c>
      <c r="Q869" s="3">
        <f t="shared" ca="1" si="95"/>
        <v>4095.19</v>
      </c>
    </row>
    <row r="870" spans="1:17" x14ac:dyDescent="0.25">
      <c r="A870" t="s">
        <v>874</v>
      </c>
      <c r="B870" t="s">
        <v>910</v>
      </c>
      <c r="C870" s="1">
        <v>45224</v>
      </c>
      <c r="D870" s="1">
        <v>45269</v>
      </c>
      <c r="E870">
        <v>7507.98</v>
      </c>
      <c r="F870" t="s">
        <v>913</v>
      </c>
      <c r="G870" t="s">
        <v>917</v>
      </c>
      <c r="I870" t="s">
        <v>919</v>
      </c>
      <c r="J870" t="b">
        <f t="shared" si="91"/>
        <v>1</v>
      </c>
      <c r="K870" s="3">
        <f t="shared" ca="1" si="92"/>
        <v>827</v>
      </c>
      <c r="L870" s="3">
        <f t="shared" ca="1" si="93"/>
        <v>782</v>
      </c>
      <c r="M870" t="str">
        <f t="shared" ca="1" si="94"/>
        <v>Overdue</v>
      </c>
      <c r="N870">
        <f t="shared" si="96"/>
        <v>7507.98</v>
      </c>
      <c r="O870" t="str" cm="1">
        <f t="array" aca="1" ref="O870" ca="1">_xlfn.IFS(
L870&lt;=0,"Not Due",
L870&lt;=30,"0–30 Days",
L870&lt;=60,"31–60 Days",
L870&lt;=90,"61–90 Days",
L870&lt;=180,"91–180 Days",
L870&lt;=365,"181–365 Days",
L870&gt;365,"365+ Days (High Risk)"
)</f>
        <v>365+ Days (High Risk)</v>
      </c>
      <c r="P870">
        <f t="shared" si="97"/>
        <v>0</v>
      </c>
      <c r="Q870" s="3">
        <f t="shared" ca="1" si="95"/>
        <v>7507.98</v>
      </c>
    </row>
    <row r="871" spans="1:17" x14ac:dyDescent="0.25">
      <c r="A871" t="s">
        <v>875</v>
      </c>
      <c r="B871" t="s">
        <v>909</v>
      </c>
      <c r="C871" s="1">
        <v>45706</v>
      </c>
      <c r="D871" s="1">
        <v>45751</v>
      </c>
      <c r="E871">
        <v>2271.23</v>
      </c>
      <c r="F871" t="s">
        <v>914</v>
      </c>
      <c r="G871" t="s">
        <v>917</v>
      </c>
      <c r="I871" t="s">
        <v>919</v>
      </c>
      <c r="J871" t="b">
        <f t="shared" si="91"/>
        <v>1</v>
      </c>
      <c r="K871" s="3">
        <f t="shared" ca="1" si="92"/>
        <v>345</v>
      </c>
      <c r="L871" s="3">
        <f t="shared" ca="1" si="93"/>
        <v>300</v>
      </c>
      <c r="M871" t="str">
        <f t="shared" ca="1" si="94"/>
        <v>Overdue</v>
      </c>
      <c r="N871">
        <f t="shared" si="96"/>
        <v>2271.23</v>
      </c>
      <c r="O871" t="str" cm="1">
        <f t="array" aca="1" ref="O871" ca="1">_xlfn.IFS(
L871&lt;=0,"Not Due",
L871&lt;=30,"0–30 Days",
L871&lt;=60,"31–60 Days",
L871&lt;=90,"61–90 Days",
L871&lt;=180,"91–180 Days",
L871&lt;=365,"181–365 Days",
L871&gt;365,"365+ Days (High Risk)"
)</f>
        <v>181–365 Days</v>
      </c>
      <c r="P871">
        <f t="shared" si="97"/>
        <v>0</v>
      </c>
      <c r="Q871" s="3">
        <f t="shared" ca="1" si="95"/>
        <v>2271.23</v>
      </c>
    </row>
    <row r="872" spans="1:17" x14ac:dyDescent="0.25">
      <c r="A872" t="s">
        <v>876</v>
      </c>
      <c r="B872" t="s">
        <v>909</v>
      </c>
      <c r="C872" s="1">
        <v>45077</v>
      </c>
      <c r="D872" s="1">
        <v>45122</v>
      </c>
      <c r="E872">
        <v>4290.32</v>
      </c>
      <c r="F872" t="s">
        <v>915</v>
      </c>
      <c r="G872" t="s">
        <v>916</v>
      </c>
      <c r="I872" t="s">
        <v>919</v>
      </c>
      <c r="J872" t="b">
        <f t="shared" si="91"/>
        <v>1</v>
      </c>
      <c r="K872" s="3">
        <f t="shared" ca="1" si="92"/>
        <v>974</v>
      </c>
      <c r="L872" s="3">
        <f t="shared" ca="1" si="93"/>
        <v>929</v>
      </c>
      <c r="M872" t="str">
        <f t="shared" ca="1" si="94"/>
        <v>Overdue</v>
      </c>
      <c r="N872">
        <f t="shared" si="96"/>
        <v>4290.32</v>
      </c>
      <c r="O872" t="str" cm="1">
        <f t="array" aca="1" ref="O872" ca="1">_xlfn.IFS(
L872&lt;=0,"Not Due",
L872&lt;=30,"0–30 Days",
L872&lt;=60,"31–60 Days",
L872&lt;=90,"61–90 Days",
L872&lt;=180,"91–180 Days",
L872&lt;=365,"181–365 Days",
L872&gt;365,"365+ Days (High Risk)"
)</f>
        <v>365+ Days (High Risk)</v>
      </c>
      <c r="P872">
        <f t="shared" si="97"/>
        <v>0</v>
      </c>
      <c r="Q872" s="3">
        <f t="shared" ca="1" si="95"/>
        <v>4290.32</v>
      </c>
    </row>
    <row r="873" spans="1:17" x14ac:dyDescent="0.25">
      <c r="A873" t="s">
        <v>877</v>
      </c>
      <c r="B873" t="s">
        <v>909</v>
      </c>
      <c r="C873" s="1">
        <v>45166</v>
      </c>
      <c r="D873" s="1">
        <v>45211</v>
      </c>
      <c r="E873">
        <v>3562.01</v>
      </c>
      <c r="F873" t="s">
        <v>913</v>
      </c>
      <c r="G873" t="s">
        <v>917</v>
      </c>
      <c r="I873" t="s">
        <v>919</v>
      </c>
      <c r="J873" t="b">
        <f t="shared" si="91"/>
        <v>1</v>
      </c>
      <c r="K873" s="3">
        <f t="shared" ca="1" si="92"/>
        <v>885</v>
      </c>
      <c r="L873" s="3">
        <f t="shared" ca="1" si="93"/>
        <v>840</v>
      </c>
      <c r="M873" t="str">
        <f t="shared" ca="1" si="94"/>
        <v>Overdue</v>
      </c>
      <c r="N873">
        <f t="shared" si="96"/>
        <v>3562.01</v>
      </c>
      <c r="O873" t="str" cm="1">
        <f t="array" aca="1" ref="O873" ca="1">_xlfn.IFS(
L873&lt;=0,"Not Due",
L873&lt;=30,"0–30 Days",
L873&lt;=60,"31–60 Days",
L873&lt;=90,"61–90 Days",
L873&lt;=180,"91–180 Days",
L873&lt;=365,"181–365 Days",
L873&gt;365,"365+ Days (High Risk)"
)</f>
        <v>365+ Days (High Risk)</v>
      </c>
      <c r="P873">
        <f t="shared" si="97"/>
        <v>0</v>
      </c>
      <c r="Q873" s="3">
        <f t="shared" ca="1" si="95"/>
        <v>3562.01</v>
      </c>
    </row>
    <row r="874" spans="1:17" x14ac:dyDescent="0.25">
      <c r="A874" t="s">
        <v>878</v>
      </c>
      <c r="B874" t="s">
        <v>908</v>
      </c>
      <c r="C874" s="1">
        <v>45047</v>
      </c>
      <c r="D874" s="1">
        <v>45092</v>
      </c>
      <c r="E874">
        <v>2117.4699999999998</v>
      </c>
      <c r="F874" t="s">
        <v>911</v>
      </c>
      <c r="G874" t="s">
        <v>917</v>
      </c>
      <c r="I874" t="s">
        <v>919</v>
      </c>
      <c r="J874" t="b">
        <f t="shared" si="91"/>
        <v>1</v>
      </c>
      <c r="K874" s="3">
        <f t="shared" ca="1" si="92"/>
        <v>1004</v>
      </c>
      <c r="L874" s="3">
        <f t="shared" ca="1" si="93"/>
        <v>959</v>
      </c>
      <c r="M874" t="str">
        <f t="shared" ca="1" si="94"/>
        <v>Overdue</v>
      </c>
      <c r="N874">
        <f t="shared" si="96"/>
        <v>2117.4699999999998</v>
      </c>
      <c r="O874" t="str" cm="1">
        <f t="array" aca="1" ref="O874" ca="1">_xlfn.IFS(
L874&lt;=0,"Not Due",
L874&lt;=30,"0–30 Days",
L874&lt;=60,"31–60 Days",
L874&lt;=90,"61–90 Days",
L874&lt;=180,"91–180 Days",
L874&lt;=365,"181–365 Days",
L874&gt;365,"365+ Days (High Risk)"
)</f>
        <v>365+ Days (High Risk)</v>
      </c>
      <c r="P874">
        <f t="shared" si="97"/>
        <v>0</v>
      </c>
      <c r="Q874" s="3">
        <f t="shared" ca="1" si="95"/>
        <v>2117.4699999999998</v>
      </c>
    </row>
    <row r="875" spans="1:17" x14ac:dyDescent="0.25">
      <c r="A875" t="s">
        <v>879</v>
      </c>
      <c r="B875" t="s">
        <v>907</v>
      </c>
      <c r="C875" s="1">
        <v>45265</v>
      </c>
      <c r="D875" s="1">
        <v>45310</v>
      </c>
      <c r="E875">
        <v>2865.09</v>
      </c>
      <c r="F875" t="s">
        <v>913</v>
      </c>
      <c r="G875" t="s">
        <v>918</v>
      </c>
      <c r="H875" s="1">
        <v>45310</v>
      </c>
      <c r="I875" t="s">
        <v>919</v>
      </c>
      <c r="J875" t="b">
        <f t="shared" si="91"/>
        <v>0</v>
      </c>
      <c r="K875" s="3">
        <f t="shared" ca="1" si="92"/>
        <v>45</v>
      </c>
      <c r="L875" s="3">
        <f t="shared" ca="1" si="93"/>
        <v>0</v>
      </c>
      <c r="M875" t="str">
        <f t="shared" ca="1" si="94"/>
        <v>On Time</v>
      </c>
      <c r="N875">
        <f t="shared" si="96"/>
        <v>0</v>
      </c>
      <c r="O875" t="str" cm="1">
        <f t="array" aca="1" ref="O875" ca="1">_xlfn.IFS(
L875&lt;=0,"Not Due",
L875&lt;=30,"0–30 Days",
L875&lt;=60,"31–60 Days",
L875&lt;=90,"61–90 Days",
L875&lt;=180,"91–180 Days",
L875&lt;=365,"181–365 Days",
L875&gt;365,"365+ Days (High Risk)"
)</f>
        <v>Not Due</v>
      </c>
      <c r="P875">
        <f t="shared" si="97"/>
        <v>2865.09</v>
      </c>
      <c r="Q875" s="3">
        <f t="shared" ca="1" si="95"/>
        <v>0</v>
      </c>
    </row>
    <row r="876" spans="1:17" x14ac:dyDescent="0.25">
      <c r="A876" t="s">
        <v>880</v>
      </c>
      <c r="B876" t="s">
        <v>906</v>
      </c>
      <c r="C876" s="1">
        <v>45630</v>
      </c>
      <c r="D876" s="1">
        <v>45675</v>
      </c>
      <c r="E876">
        <v>3933.4</v>
      </c>
      <c r="F876" t="s">
        <v>914</v>
      </c>
      <c r="G876" t="s">
        <v>916</v>
      </c>
      <c r="I876" t="s">
        <v>919</v>
      </c>
      <c r="J876" t="b">
        <f t="shared" si="91"/>
        <v>1</v>
      </c>
      <c r="K876" s="3">
        <f t="shared" ca="1" si="92"/>
        <v>421</v>
      </c>
      <c r="L876" s="3">
        <f t="shared" ca="1" si="93"/>
        <v>376</v>
      </c>
      <c r="M876" t="str">
        <f t="shared" ca="1" si="94"/>
        <v>Overdue</v>
      </c>
      <c r="N876">
        <f t="shared" si="96"/>
        <v>3933.4</v>
      </c>
      <c r="O876" t="str" cm="1">
        <f t="array" aca="1" ref="O876" ca="1">_xlfn.IFS(
L876&lt;=0,"Not Due",
L876&lt;=30,"0–30 Days",
L876&lt;=60,"31–60 Days",
L876&lt;=90,"61–90 Days",
L876&lt;=180,"91–180 Days",
L876&lt;=365,"181–365 Days",
L876&gt;365,"365+ Days (High Risk)"
)</f>
        <v>365+ Days (High Risk)</v>
      </c>
      <c r="P876">
        <f t="shared" si="97"/>
        <v>0</v>
      </c>
      <c r="Q876" s="3">
        <f t="shared" ca="1" si="95"/>
        <v>3933.4</v>
      </c>
    </row>
    <row r="877" spans="1:17" x14ac:dyDescent="0.25">
      <c r="A877" t="s">
        <v>881</v>
      </c>
      <c r="B877" t="s">
        <v>907</v>
      </c>
      <c r="C877" s="1">
        <v>45216</v>
      </c>
      <c r="D877" s="1">
        <v>45261</v>
      </c>
      <c r="E877">
        <v>300.14</v>
      </c>
      <c r="F877" t="s">
        <v>911</v>
      </c>
      <c r="G877" t="s">
        <v>918</v>
      </c>
      <c r="H877" s="1">
        <v>45261</v>
      </c>
      <c r="I877" t="s">
        <v>919</v>
      </c>
      <c r="J877" t="b">
        <f t="shared" si="91"/>
        <v>0</v>
      </c>
      <c r="K877" s="3">
        <f t="shared" ca="1" si="92"/>
        <v>45</v>
      </c>
      <c r="L877" s="3">
        <f t="shared" ca="1" si="93"/>
        <v>0</v>
      </c>
      <c r="M877" t="str">
        <f t="shared" ca="1" si="94"/>
        <v>On Time</v>
      </c>
      <c r="N877">
        <f t="shared" si="96"/>
        <v>0</v>
      </c>
      <c r="O877" t="str" cm="1">
        <f t="array" aca="1" ref="O877" ca="1">_xlfn.IFS(
L877&lt;=0,"Not Due",
L877&lt;=30,"0–30 Days",
L877&lt;=60,"31–60 Days",
L877&lt;=90,"61–90 Days",
L877&lt;=180,"91–180 Days",
L877&lt;=365,"181–365 Days",
L877&gt;365,"365+ Days (High Risk)"
)</f>
        <v>Not Due</v>
      </c>
      <c r="P877">
        <f t="shared" si="97"/>
        <v>300.14</v>
      </c>
      <c r="Q877" s="3">
        <f t="shared" ca="1" si="95"/>
        <v>0</v>
      </c>
    </row>
    <row r="878" spans="1:17" x14ac:dyDescent="0.25">
      <c r="A878" t="s">
        <v>882</v>
      </c>
      <c r="B878" t="s">
        <v>907</v>
      </c>
      <c r="C878" s="1">
        <v>45253</v>
      </c>
      <c r="D878" s="1">
        <v>45298</v>
      </c>
      <c r="E878">
        <v>3365.08</v>
      </c>
      <c r="F878" t="s">
        <v>911</v>
      </c>
      <c r="G878" t="s">
        <v>917</v>
      </c>
      <c r="I878" t="s">
        <v>919</v>
      </c>
      <c r="J878" t="b">
        <f t="shared" si="91"/>
        <v>1</v>
      </c>
      <c r="K878" s="3">
        <f t="shared" ca="1" si="92"/>
        <v>798</v>
      </c>
      <c r="L878" s="3">
        <f t="shared" ca="1" si="93"/>
        <v>753</v>
      </c>
      <c r="M878" t="str">
        <f t="shared" ca="1" si="94"/>
        <v>Overdue</v>
      </c>
      <c r="N878">
        <f t="shared" si="96"/>
        <v>3365.08</v>
      </c>
      <c r="O878" t="str" cm="1">
        <f t="array" aca="1" ref="O878" ca="1">_xlfn.IFS(
L878&lt;=0,"Not Due",
L878&lt;=30,"0–30 Days",
L878&lt;=60,"31–60 Days",
L878&lt;=90,"61–90 Days",
L878&lt;=180,"91–180 Days",
L878&lt;=365,"181–365 Days",
L878&gt;365,"365+ Days (High Risk)"
)</f>
        <v>365+ Days (High Risk)</v>
      </c>
      <c r="P878">
        <f t="shared" si="97"/>
        <v>0</v>
      </c>
      <c r="Q878" s="3">
        <f t="shared" ca="1" si="95"/>
        <v>3365.08</v>
      </c>
    </row>
    <row r="879" spans="1:17" x14ac:dyDescent="0.25">
      <c r="A879" t="s">
        <v>883</v>
      </c>
      <c r="B879" t="s">
        <v>910</v>
      </c>
      <c r="C879" s="1">
        <v>45537</v>
      </c>
      <c r="D879" s="1">
        <v>45582</v>
      </c>
      <c r="E879">
        <v>7336.13</v>
      </c>
      <c r="F879" t="s">
        <v>913</v>
      </c>
      <c r="G879" t="s">
        <v>917</v>
      </c>
      <c r="I879" t="s">
        <v>919</v>
      </c>
      <c r="J879" t="b">
        <f t="shared" si="91"/>
        <v>1</v>
      </c>
      <c r="K879" s="3">
        <f t="shared" ca="1" si="92"/>
        <v>514</v>
      </c>
      <c r="L879" s="3">
        <f t="shared" ca="1" si="93"/>
        <v>469</v>
      </c>
      <c r="M879" t="str">
        <f t="shared" ca="1" si="94"/>
        <v>Overdue</v>
      </c>
      <c r="N879">
        <f t="shared" si="96"/>
        <v>7336.13</v>
      </c>
      <c r="O879" t="str" cm="1">
        <f t="array" aca="1" ref="O879" ca="1">_xlfn.IFS(
L879&lt;=0,"Not Due",
L879&lt;=30,"0–30 Days",
L879&lt;=60,"31–60 Days",
L879&lt;=90,"61–90 Days",
L879&lt;=180,"91–180 Days",
L879&lt;=365,"181–365 Days",
L879&gt;365,"365+ Days (High Risk)"
)</f>
        <v>365+ Days (High Risk)</v>
      </c>
      <c r="P879">
        <f t="shared" si="97"/>
        <v>0</v>
      </c>
      <c r="Q879" s="3">
        <f t="shared" ca="1" si="95"/>
        <v>7336.13</v>
      </c>
    </row>
    <row r="880" spans="1:17" x14ac:dyDescent="0.25">
      <c r="A880" t="s">
        <v>884</v>
      </c>
      <c r="B880" t="s">
        <v>907</v>
      </c>
      <c r="C880" s="1">
        <v>45008</v>
      </c>
      <c r="D880" s="1">
        <v>45053</v>
      </c>
      <c r="E880">
        <v>5117.88</v>
      </c>
      <c r="F880" t="s">
        <v>914</v>
      </c>
      <c r="G880" t="s">
        <v>917</v>
      </c>
      <c r="I880" t="s">
        <v>919</v>
      </c>
      <c r="J880" t="b">
        <f t="shared" si="91"/>
        <v>1</v>
      </c>
      <c r="K880" s="3">
        <f t="shared" ca="1" si="92"/>
        <v>1043</v>
      </c>
      <c r="L880" s="3">
        <f t="shared" ca="1" si="93"/>
        <v>998</v>
      </c>
      <c r="M880" t="str">
        <f t="shared" ca="1" si="94"/>
        <v>Overdue</v>
      </c>
      <c r="N880">
        <f t="shared" si="96"/>
        <v>5117.88</v>
      </c>
      <c r="O880" t="str" cm="1">
        <f t="array" aca="1" ref="O880" ca="1">_xlfn.IFS(
L880&lt;=0,"Not Due",
L880&lt;=30,"0–30 Days",
L880&lt;=60,"31–60 Days",
L880&lt;=90,"61–90 Days",
L880&lt;=180,"91–180 Days",
L880&lt;=365,"181–365 Days",
L880&gt;365,"365+ Days (High Risk)"
)</f>
        <v>365+ Days (High Risk)</v>
      </c>
      <c r="P880">
        <f t="shared" si="97"/>
        <v>0</v>
      </c>
      <c r="Q880" s="3">
        <f t="shared" ca="1" si="95"/>
        <v>5117.88</v>
      </c>
    </row>
    <row r="881" spans="1:17" x14ac:dyDescent="0.25">
      <c r="A881" t="s">
        <v>885</v>
      </c>
      <c r="B881" t="s">
        <v>909</v>
      </c>
      <c r="C881" s="1">
        <v>44957</v>
      </c>
      <c r="D881" s="1">
        <v>45002</v>
      </c>
      <c r="E881">
        <v>6307.06</v>
      </c>
      <c r="F881" t="s">
        <v>914</v>
      </c>
      <c r="G881" t="s">
        <v>916</v>
      </c>
      <c r="I881" t="s">
        <v>919</v>
      </c>
      <c r="J881" t="b">
        <f t="shared" si="91"/>
        <v>1</v>
      </c>
      <c r="K881" s="3">
        <f t="shared" ca="1" si="92"/>
        <v>1094</v>
      </c>
      <c r="L881" s="3">
        <f t="shared" ca="1" si="93"/>
        <v>1049</v>
      </c>
      <c r="M881" t="str">
        <f t="shared" ca="1" si="94"/>
        <v>Overdue</v>
      </c>
      <c r="N881">
        <f t="shared" si="96"/>
        <v>6307.06</v>
      </c>
      <c r="O881" t="str" cm="1">
        <f t="array" aca="1" ref="O881" ca="1">_xlfn.IFS(
L881&lt;=0,"Not Due",
L881&lt;=30,"0–30 Days",
L881&lt;=60,"31–60 Days",
L881&lt;=90,"61–90 Days",
L881&lt;=180,"91–180 Days",
L881&lt;=365,"181–365 Days",
L881&gt;365,"365+ Days (High Risk)"
)</f>
        <v>365+ Days (High Risk)</v>
      </c>
      <c r="P881">
        <f t="shared" si="97"/>
        <v>0</v>
      </c>
      <c r="Q881" s="3">
        <f t="shared" ca="1" si="95"/>
        <v>6307.06</v>
      </c>
    </row>
    <row r="882" spans="1:17" x14ac:dyDescent="0.25">
      <c r="A882" t="s">
        <v>886</v>
      </c>
      <c r="B882" t="s">
        <v>907</v>
      </c>
      <c r="C882" s="1">
        <v>45294</v>
      </c>
      <c r="D882" s="1">
        <v>45339</v>
      </c>
      <c r="E882">
        <v>7493.25</v>
      </c>
      <c r="F882" t="s">
        <v>911</v>
      </c>
      <c r="G882" t="s">
        <v>917</v>
      </c>
      <c r="I882" t="s">
        <v>919</v>
      </c>
      <c r="J882" t="b">
        <f t="shared" si="91"/>
        <v>1</v>
      </c>
      <c r="K882" s="3">
        <f t="shared" ca="1" si="92"/>
        <v>757</v>
      </c>
      <c r="L882" s="3">
        <f t="shared" ca="1" si="93"/>
        <v>712</v>
      </c>
      <c r="M882" t="str">
        <f t="shared" ca="1" si="94"/>
        <v>Overdue</v>
      </c>
      <c r="N882">
        <f t="shared" si="96"/>
        <v>7493.25</v>
      </c>
      <c r="O882" t="str" cm="1">
        <f t="array" aca="1" ref="O882" ca="1">_xlfn.IFS(
L882&lt;=0,"Not Due",
L882&lt;=30,"0–30 Days",
L882&lt;=60,"31–60 Days",
L882&lt;=90,"61–90 Days",
L882&lt;=180,"91–180 Days",
L882&lt;=365,"181–365 Days",
L882&gt;365,"365+ Days (High Risk)"
)</f>
        <v>365+ Days (High Risk)</v>
      </c>
      <c r="P882">
        <f t="shared" si="97"/>
        <v>0</v>
      </c>
      <c r="Q882" s="3">
        <f t="shared" ca="1" si="95"/>
        <v>7493.25</v>
      </c>
    </row>
    <row r="883" spans="1:17" x14ac:dyDescent="0.25">
      <c r="A883" t="s">
        <v>887</v>
      </c>
      <c r="B883" t="s">
        <v>909</v>
      </c>
      <c r="C883" s="1">
        <v>45813</v>
      </c>
      <c r="D883" s="1">
        <v>45858</v>
      </c>
      <c r="E883">
        <v>1666.55</v>
      </c>
      <c r="F883" t="s">
        <v>913</v>
      </c>
      <c r="G883" t="s">
        <v>917</v>
      </c>
      <c r="I883" t="s">
        <v>919</v>
      </c>
      <c r="J883" t="b">
        <f t="shared" si="91"/>
        <v>1</v>
      </c>
      <c r="K883" s="3">
        <f t="shared" ca="1" si="92"/>
        <v>238</v>
      </c>
      <c r="L883" s="3">
        <f t="shared" ca="1" si="93"/>
        <v>193</v>
      </c>
      <c r="M883" t="str">
        <f t="shared" ca="1" si="94"/>
        <v>Overdue</v>
      </c>
      <c r="N883">
        <f t="shared" si="96"/>
        <v>1666.55</v>
      </c>
      <c r="O883" t="str" cm="1">
        <f t="array" aca="1" ref="O883" ca="1">_xlfn.IFS(
L883&lt;=0,"Not Due",
L883&lt;=30,"0–30 Days",
L883&lt;=60,"31–60 Days",
L883&lt;=90,"61–90 Days",
L883&lt;=180,"91–180 Days",
L883&lt;=365,"181–365 Days",
L883&gt;365,"365+ Days (High Risk)"
)</f>
        <v>181–365 Days</v>
      </c>
      <c r="P883">
        <f t="shared" si="97"/>
        <v>0</v>
      </c>
      <c r="Q883" s="3">
        <f t="shared" ca="1" si="95"/>
        <v>1666.55</v>
      </c>
    </row>
    <row r="884" spans="1:17" x14ac:dyDescent="0.25">
      <c r="A884" t="s">
        <v>888</v>
      </c>
      <c r="B884" t="s">
        <v>906</v>
      </c>
      <c r="C884" s="1">
        <v>45236</v>
      </c>
      <c r="D884" s="1">
        <v>45281</v>
      </c>
      <c r="E884">
        <v>7344.16</v>
      </c>
      <c r="F884" t="s">
        <v>914</v>
      </c>
      <c r="G884" t="s">
        <v>918</v>
      </c>
      <c r="H884" s="1">
        <v>45281</v>
      </c>
      <c r="I884" t="s">
        <v>919</v>
      </c>
      <c r="J884" t="b">
        <f t="shared" si="91"/>
        <v>0</v>
      </c>
      <c r="K884" s="3">
        <f t="shared" ca="1" si="92"/>
        <v>45</v>
      </c>
      <c r="L884" s="3">
        <f t="shared" ca="1" si="93"/>
        <v>0</v>
      </c>
      <c r="M884" t="str">
        <f t="shared" ca="1" si="94"/>
        <v>On Time</v>
      </c>
      <c r="N884">
        <f t="shared" si="96"/>
        <v>0</v>
      </c>
      <c r="O884" t="str" cm="1">
        <f t="array" aca="1" ref="O884" ca="1">_xlfn.IFS(
L884&lt;=0,"Not Due",
L884&lt;=30,"0–30 Days",
L884&lt;=60,"31–60 Days",
L884&lt;=90,"61–90 Days",
L884&lt;=180,"91–180 Days",
L884&lt;=365,"181–365 Days",
L884&gt;365,"365+ Days (High Risk)"
)</f>
        <v>Not Due</v>
      </c>
      <c r="P884">
        <f t="shared" si="97"/>
        <v>7344.16</v>
      </c>
      <c r="Q884" s="3">
        <f t="shared" ca="1" si="95"/>
        <v>0</v>
      </c>
    </row>
    <row r="885" spans="1:17" x14ac:dyDescent="0.25">
      <c r="A885" t="s">
        <v>889</v>
      </c>
      <c r="B885" t="s">
        <v>906</v>
      </c>
      <c r="C885" s="1">
        <v>45683</v>
      </c>
      <c r="D885" s="1">
        <v>45728</v>
      </c>
      <c r="E885">
        <v>231.22</v>
      </c>
      <c r="F885" t="s">
        <v>912</v>
      </c>
      <c r="G885" t="s">
        <v>918</v>
      </c>
      <c r="H885" s="1">
        <v>45728</v>
      </c>
      <c r="I885" t="s">
        <v>919</v>
      </c>
      <c r="J885" t="b">
        <f t="shared" si="91"/>
        <v>0</v>
      </c>
      <c r="K885" s="3">
        <f t="shared" ca="1" si="92"/>
        <v>45</v>
      </c>
      <c r="L885" s="3">
        <f t="shared" ca="1" si="93"/>
        <v>0</v>
      </c>
      <c r="M885" t="str">
        <f t="shared" ca="1" si="94"/>
        <v>On Time</v>
      </c>
      <c r="N885">
        <f t="shared" si="96"/>
        <v>0</v>
      </c>
      <c r="O885" t="str" cm="1">
        <f t="array" aca="1" ref="O885" ca="1">_xlfn.IFS(
L885&lt;=0,"Not Due",
L885&lt;=30,"0–30 Days",
L885&lt;=60,"31–60 Days",
L885&lt;=90,"61–90 Days",
L885&lt;=180,"91–180 Days",
L885&lt;=365,"181–365 Days",
L885&gt;365,"365+ Days (High Risk)"
)</f>
        <v>Not Due</v>
      </c>
      <c r="P885">
        <f t="shared" si="97"/>
        <v>231.22</v>
      </c>
      <c r="Q885" s="3">
        <f t="shared" ca="1" si="95"/>
        <v>0</v>
      </c>
    </row>
    <row r="886" spans="1:17" x14ac:dyDescent="0.25">
      <c r="A886" t="s">
        <v>890</v>
      </c>
      <c r="B886" t="s">
        <v>910</v>
      </c>
      <c r="C886" s="1">
        <v>45393</v>
      </c>
      <c r="D886" s="1">
        <v>45438</v>
      </c>
      <c r="E886">
        <v>7661.86</v>
      </c>
      <c r="F886" t="s">
        <v>911</v>
      </c>
      <c r="G886" t="s">
        <v>916</v>
      </c>
      <c r="I886" t="s">
        <v>919</v>
      </c>
      <c r="J886" t="b">
        <f t="shared" si="91"/>
        <v>1</v>
      </c>
      <c r="K886" s="3">
        <f t="shared" ca="1" si="92"/>
        <v>658</v>
      </c>
      <c r="L886" s="3">
        <f t="shared" ca="1" si="93"/>
        <v>613</v>
      </c>
      <c r="M886" t="str">
        <f t="shared" ca="1" si="94"/>
        <v>Overdue</v>
      </c>
      <c r="N886">
        <f t="shared" si="96"/>
        <v>7661.86</v>
      </c>
      <c r="O886" t="str" cm="1">
        <f t="array" aca="1" ref="O886" ca="1">_xlfn.IFS(
L886&lt;=0,"Not Due",
L886&lt;=30,"0–30 Days",
L886&lt;=60,"31–60 Days",
L886&lt;=90,"61–90 Days",
L886&lt;=180,"91–180 Days",
L886&lt;=365,"181–365 Days",
L886&gt;365,"365+ Days (High Risk)"
)</f>
        <v>365+ Days (High Risk)</v>
      </c>
      <c r="P886">
        <f t="shared" si="97"/>
        <v>0</v>
      </c>
      <c r="Q886" s="3">
        <f t="shared" ca="1" si="95"/>
        <v>7661.86</v>
      </c>
    </row>
    <row r="887" spans="1:17" x14ac:dyDescent="0.25">
      <c r="A887" t="s">
        <v>891</v>
      </c>
      <c r="B887" t="s">
        <v>909</v>
      </c>
      <c r="C887" s="1">
        <v>45261</v>
      </c>
      <c r="D887" s="1">
        <v>45306</v>
      </c>
      <c r="E887">
        <v>6954.59</v>
      </c>
      <c r="F887" t="s">
        <v>912</v>
      </c>
      <c r="G887" t="s">
        <v>918</v>
      </c>
      <c r="H887" s="1">
        <v>45306</v>
      </c>
      <c r="I887" t="s">
        <v>919</v>
      </c>
      <c r="J887" t="b">
        <f t="shared" si="91"/>
        <v>0</v>
      </c>
      <c r="K887" s="3">
        <f t="shared" ca="1" si="92"/>
        <v>45</v>
      </c>
      <c r="L887" s="3">
        <f t="shared" ca="1" si="93"/>
        <v>0</v>
      </c>
      <c r="M887" t="str">
        <f t="shared" ca="1" si="94"/>
        <v>On Time</v>
      </c>
      <c r="N887">
        <f t="shared" si="96"/>
        <v>0</v>
      </c>
      <c r="O887" t="str" cm="1">
        <f t="array" aca="1" ref="O887" ca="1">_xlfn.IFS(
L887&lt;=0,"Not Due",
L887&lt;=30,"0–30 Days",
L887&lt;=60,"31–60 Days",
L887&lt;=90,"61–90 Days",
L887&lt;=180,"91–180 Days",
L887&lt;=365,"181–365 Days",
L887&gt;365,"365+ Days (High Risk)"
)</f>
        <v>Not Due</v>
      </c>
      <c r="P887">
        <f t="shared" si="97"/>
        <v>6954.59</v>
      </c>
      <c r="Q887" s="3">
        <f t="shared" ca="1" si="95"/>
        <v>0</v>
      </c>
    </row>
    <row r="888" spans="1:17" x14ac:dyDescent="0.25">
      <c r="A888" t="s">
        <v>892</v>
      </c>
      <c r="B888" t="s">
        <v>907</v>
      </c>
      <c r="C888" s="1">
        <v>45741</v>
      </c>
      <c r="D888" s="1">
        <v>45786</v>
      </c>
      <c r="E888">
        <v>381.98</v>
      </c>
      <c r="F888" t="s">
        <v>912</v>
      </c>
      <c r="G888" t="s">
        <v>918</v>
      </c>
      <c r="H888" s="1">
        <v>45786</v>
      </c>
      <c r="I888" t="s">
        <v>919</v>
      </c>
      <c r="J888" t="b">
        <f t="shared" si="91"/>
        <v>0</v>
      </c>
      <c r="K888" s="3">
        <f t="shared" ca="1" si="92"/>
        <v>45</v>
      </c>
      <c r="L888" s="3">
        <f t="shared" ca="1" si="93"/>
        <v>0</v>
      </c>
      <c r="M888" t="str">
        <f t="shared" ca="1" si="94"/>
        <v>On Time</v>
      </c>
      <c r="N888">
        <f t="shared" si="96"/>
        <v>0</v>
      </c>
      <c r="O888" t="str" cm="1">
        <f t="array" aca="1" ref="O888" ca="1">_xlfn.IFS(
L888&lt;=0,"Not Due",
L888&lt;=30,"0–30 Days",
L888&lt;=60,"31–60 Days",
L888&lt;=90,"61–90 Days",
L888&lt;=180,"91–180 Days",
L888&lt;=365,"181–365 Days",
L888&gt;365,"365+ Days (High Risk)"
)</f>
        <v>Not Due</v>
      </c>
      <c r="P888">
        <f t="shared" si="97"/>
        <v>381.98</v>
      </c>
      <c r="Q888" s="3">
        <f t="shared" ca="1" si="95"/>
        <v>0</v>
      </c>
    </row>
    <row r="889" spans="1:17" x14ac:dyDescent="0.25">
      <c r="A889" t="s">
        <v>893</v>
      </c>
      <c r="B889" t="s">
        <v>909</v>
      </c>
      <c r="C889" s="1">
        <v>44988</v>
      </c>
      <c r="D889" s="1">
        <v>45033</v>
      </c>
      <c r="E889">
        <v>7168.62</v>
      </c>
      <c r="F889" t="s">
        <v>911</v>
      </c>
      <c r="G889" t="s">
        <v>917</v>
      </c>
      <c r="I889" t="s">
        <v>919</v>
      </c>
      <c r="J889" t="b">
        <f t="shared" si="91"/>
        <v>1</v>
      </c>
      <c r="K889" s="3">
        <f t="shared" ca="1" si="92"/>
        <v>1063</v>
      </c>
      <c r="L889" s="3">
        <f t="shared" ca="1" si="93"/>
        <v>1018</v>
      </c>
      <c r="M889" t="str">
        <f t="shared" ca="1" si="94"/>
        <v>Overdue</v>
      </c>
      <c r="N889">
        <f t="shared" si="96"/>
        <v>7168.62</v>
      </c>
      <c r="O889" t="str" cm="1">
        <f t="array" aca="1" ref="O889" ca="1">_xlfn.IFS(
L889&lt;=0,"Not Due",
L889&lt;=30,"0–30 Days",
L889&lt;=60,"31–60 Days",
L889&lt;=90,"61–90 Days",
L889&lt;=180,"91–180 Days",
L889&lt;=365,"181–365 Days",
L889&gt;365,"365+ Days (High Risk)"
)</f>
        <v>365+ Days (High Risk)</v>
      </c>
      <c r="P889">
        <f t="shared" si="97"/>
        <v>0</v>
      </c>
      <c r="Q889" s="3">
        <f t="shared" ca="1" si="95"/>
        <v>7168.62</v>
      </c>
    </row>
    <row r="890" spans="1:17" x14ac:dyDescent="0.25">
      <c r="A890" t="s">
        <v>894</v>
      </c>
      <c r="B890" t="s">
        <v>908</v>
      </c>
      <c r="C890" s="1">
        <v>45706</v>
      </c>
      <c r="D890" s="1">
        <v>45751</v>
      </c>
      <c r="E890">
        <v>1538.18</v>
      </c>
      <c r="F890" t="s">
        <v>913</v>
      </c>
      <c r="G890" t="s">
        <v>918</v>
      </c>
      <c r="H890" s="1">
        <v>45751</v>
      </c>
      <c r="I890" t="s">
        <v>919</v>
      </c>
      <c r="J890" t="b">
        <f t="shared" si="91"/>
        <v>0</v>
      </c>
      <c r="K890" s="3">
        <f t="shared" ca="1" si="92"/>
        <v>45</v>
      </c>
      <c r="L890" s="3">
        <f t="shared" ca="1" si="93"/>
        <v>0</v>
      </c>
      <c r="M890" t="str">
        <f t="shared" ca="1" si="94"/>
        <v>On Time</v>
      </c>
      <c r="N890">
        <f t="shared" si="96"/>
        <v>0</v>
      </c>
      <c r="O890" t="str" cm="1">
        <f t="array" aca="1" ref="O890" ca="1">_xlfn.IFS(
L890&lt;=0,"Not Due",
L890&lt;=30,"0–30 Days",
L890&lt;=60,"31–60 Days",
L890&lt;=90,"61–90 Days",
L890&lt;=180,"91–180 Days",
L890&lt;=365,"181–365 Days",
L890&gt;365,"365+ Days (High Risk)"
)</f>
        <v>Not Due</v>
      </c>
      <c r="P890">
        <f t="shared" si="97"/>
        <v>1538.18</v>
      </c>
      <c r="Q890" s="3">
        <f t="shared" ca="1" si="95"/>
        <v>0</v>
      </c>
    </row>
    <row r="891" spans="1:17" x14ac:dyDescent="0.25">
      <c r="A891" t="s">
        <v>895</v>
      </c>
      <c r="B891" t="s">
        <v>907</v>
      </c>
      <c r="C891" s="1">
        <v>45318</v>
      </c>
      <c r="D891" s="1">
        <v>45363</v>
      </c>
      <c r="E891">
        <v>4387.1099999999997</v>
      </c>
      <c r="F891" t="s">
        <v>913</v>
      </c>
      <c r="G891" t="s">
        <v>916</v>
      </c>
      <c r="I891" t="s">
        <v>919</v>
      </c>
      <c r="J891" t="b">
        <f t="shared" si="91"/>
        <v>1</v>
      </c>
      <c r="K891" s="3">
        <f t="shared" ca="1" si="92"/>
        <v>733</v>
      </c>
      <c r="L891" s="3">
        <f t="shared" ca="1" si="93"/>
        <v>688</v>
      </c>
      <c r="M891" t="str">
        <f t="shared" ca="1" si="94"/>
        <v>Overdue</v>
      </c>
      <c r="N891">
        <f t="shared" si="96"/>
        <v>4387.1099999999997</v>
      </c>
      <c r="O891" t="str" cm="1">
        <f t="array" aca="1" ref="O891" ca="1">_xlfn.IFS(
L891&lt;=0,"Not Due",
L891&lt;=30,"0–30 Days",
L891&lt;=60,"31–60 Days",
L891&lt;=90,"61–90 Days",
L891&lt;=180,"91–180 Days",
L891&lt;=365,"181–365 Days",
L891&gt;365,"365+ Days (High Risk)"
)</f>
        <v>365+ Days (High Risk)</v>
      </c>
      <c r="P891">
        <f t="shared" si="97"/>
        <v>0</v>
      </c>
      <c r="Q891" s="3">
        <f t="shared" ca="1" si="95"/>
        <v>4387.1099999999997</v>
      </c>
    </row>
    <row r="892" spans="1:17" x14ac:dyDescent="0.25">
      <c r="A892" t="s">
        <v>896</v>
      </c>
      <c r="B892" t="s">
        <v>908</v>
      </c>
      <c r="C892" s="1">
        <v>44985</v>
      </c>
      <c r="D892" s="1">
        <v>45030</v>
      </c>
      <c r="E892">
        <v>5828.29</v>
      </c>
      <c r="F892" t="s">
        <v>912</v>
      </c>
      <c r="G892" t="s">
        <v>917</v>
      </c>
      <c r="I892" t="s">
        <v>919</v>
      </c>
      <c r="J892" t="b">
        <f t="shared" si="91"/>
        <v>1</v>
      </c>
      <c r="K892" s="3">
        <f t="shared" ca="1" si="92"/>
        <v>1066</v>
      </c>
      <c r="L892" s="3">
        <f t="shared" ca="1" si="93"/>
        <v>1021</v>
      </c>
      <c r="M892" t="str">
        <f t="shared" ca="1" si="94"/>
        <v>Overdue</v>
      </c>
      <c r="N892">
        <f t="shared" si="96"/>
        <v>5828.29</v>
      </c>
      <c r="O892" t="str" cm="1">
        <f t="array" aca="1" ref="O892" ca="1">_xlfn.IFS(
L892&lt;=0,"Not Due",
L892&lt;=30,"0–30 Days",
L892&lt;=60,"31–60 Days",
L892&lt;=90,"61–90 Days",
L892&lt;=180,"91–180 Days",
L892&lt;=365,"181–365 Days",
L892&gt;365,"365+ Days (High Risk)"
)</f>
        <v>365+ Days (High Risk)</v>
      </c>
      <c r="P892">
        <f t="shared" si="97"/>
        <v>0</v>
      </c>
      <c r="Q892" s="3">
        <f t="shared" ca="1" si="95"/>
        <v>5828.29</v>
      </c>
    </row>
    <row r="893" spans="1:17" x14ac:dyDescent="0.25">
      <c r="A893" t="s">
        <v>897</v>
      </c>
      <c r="B893" t="s">
        <v>906</v>
      </c>
      <c r="C893" s="1">
        <v>45067</v>
      </c>
      <c r="D893" s="1">
        <v>45112</v>
      </c>
      <c r="E893">
        <v>5386.99</v>
      </c>
      <c r="F893" t="s">
        <v>914</v>
      </c>
      <c r="G893" t="s">
        <v>918</v>
      </c>
      <c r="H893" s="1">
        <v>45112</v>
      </c>
      <c r="I893" t="s">
        <v>919</v>
      </c>
      <c r="J893" t="b">
        <f t="shared" si="91"/>
        <v>0</v>
      </c>
      <c r="K893" s="3">
        <f t="shared" ca="1" si="92"/>
        <v>45</v>
      </c>
      <c r="L893" s="3">
        <f t="shared" ca="1" si="93"/>
        <v>0</v>
      </c>
      <c r="M893" t="str">
        <f t="shared" ca="1" si="94"/>
        <v>On Time</v>
      </c>
      <c r="N893">
        <f t="shared" si="96"/>
        <v>0</v>
      </c>
      <c r="O893" t="str" cm="1">
        <f t="array" aca="1" ref="O893" ca="1">_xlfn.IFS(
L893&lt;=0,"Not Due",
L893&lt;=30,"0–30 Days",
L893&lt;=60,"31–60 Days",
L893&lt;=90,"61–90 Days",
L893&lt;=180,"91–180 Days",
L893&lt;=365,"181–365 Days",
L893&gt;365,"365+ Days (High Risk)"
)</f>
        <v>Not Due</v>
      </c>
      <c r="P893">
        <f t="shared" si="97"/>
        <v>5386.99</v>
      </c>
      <c r="Q893" s="3">
        <f t="shared" ca="1" si="95"/>
        <v>0</v>
      </c>
    </row>
    <row r="894" spans="1:17" x14ac:dyDescent="0.25">
      <c r="A894" t="s">
        <v>898</v>
      </c>
      <c r="B894" t="s">
        <v>908</v>
      </c>
      <c r="C894" s="1">
        <v>45064</v>
      </c>
      <c r="D894" s="1">
        <v>45109</v>
      </c>
      <c r="E894">
        <v>1980.71</v>
      </c>
      <c r="F894" t="s">
        <v>915</v>
      </c>
      <c r="G894" t="s">
        <v>917</v>
      </c>
      <c r="I894" t="s">
        <v>919</v>
      </c>
      <c r="J894" t="b">
        <f t="shared" si="91"/>
        <v>1</v>
      </c>
      <c r="K894" s="3">
        <f t="shared" ca="1" si="92"/>
        <v>987</v>
      </c>
      <c r="L894" s="3">
        <f t="shared" ca="1" si="93"/>
        <v>942</v>
      </c>
      <c r="M894" t="str">
        <f t="shared" ca="1" si="94"/>
        <v>Overdue</v>
      </c>
      <c r="N894">
        <f t="shared" si="96"/>
        <v>1980.71</v>
      </c>
      <c r="O894" t="str" cm="1">
        <f t="array" aca="1" ref="O894" ca="1">_xlfn.IFS(
L894&lt;=0,"Not Due",
L894&lt;=30,"0–30 Days",
L894&lt;=60,"31–60 Days",
L894&lt;=90,"61–90 Days",
L894&lt;=180,"91–180 Days",
L894&lt;=365,"181–365 Days",
L894&gt;365,"365+ Days (High Risk)"
)</f>
        <v>365+ Days (High Risk)</v>
      </c>
      <c r="P894">
        <f t="shared" si="97"/>
        <v>0</v>
      </c>
      <c r="Q894" s="3">
        <f t="shared" ca="1" si="95"/>
        <v>1980.71</v>
      </c>
    </row>
    <row r="895" spans="1:17" x14ac:dyDescent="0.25">
      <c r="A895" t="s">
        <v>899</v>
      </c>
      <c r="B895" t="s">
        <v>908</v>
      </c>
      <c r="C895" s="1">
        <v>45796</v>
      </c>
      <c r="D895" s="1">
        <v>45841</v>
      </c>
      <c r="E895">
        <v>4129.08</v>
      </c>
      <c r="F895" t="s">
        <v>912</v>
      </c>
      <c r="G895" t="s">
        <v>916</v>
      </c>
      <c r="I895" t="s">
        <v>919</v>
      </c>
      <c r="J895" t="b">
        <f t="shared" si="91"/>
        <v>1</v>
      </c>
      <c r="K895" s="3">
        <f t="shared" ca="1" si="92"/>
        <v>255</v>
      </c>
      <c r="L895" s="3">
        <f t="shared" ca="1" si="93"/>
        <v>210</v>
      </c>
      <c r="M895" t="str">
        <f t="shared" ca="1" si="94"/>
        <v>Overdue</v>
      </c>
      <c r="N895">
        <f t="shared" si="96"/>
        <v>4129.08</v>
      </c>
      <c r="O895" t="str" cm="1">
        <f t="array" aca="1" ref="O895" ca="1">_xlfn.IFS(
L895&lt;=0,"Not Due",
L895&lt;=30,"0–30 Days",
L895&lt;=60,"31–60 Days",
L895&lt;=90,"61–90 Days",
L895&lt;=180,"91–180 Days",
L895&lt;=365,"181–365 Days",
L895&gt;365,"365+ Days (High Risk)"
)</f>
        <v>181–365 Days</v>
      </c>
      <c r="P895">
        <f t="shared" si="97"/>
        <v>0</v>
      </c>
      <c r="Q895" s="3">
        <f t="shared" ca="1" si="95"/>
        <v>4129.08</v>
      </c>
    </row>
    <row r="896" spans="1:17" x14ac:dyDescent="0.25">
      <c r="A896" t="s">
        <v>900</v>
      </c>
      <c r="B896" t="s">
        <v>906</v>
      </c>
      <c r="C896" s="1">
        <v>45215</v>
      </c>
      <c r="D896" s="1">
        <v>45260</v>
      </c>
      <c r="E896">
        <v>6161.04</v>
      </c>
      <c r="F896" t="s">
        <v>912</v>
      </c>
      <c r="G896" t="s">
        <v>918</v>
      </c>
      <c r="H896" s="1">
        <v>45260</v>
      </c>
      <c r="I896" t="s">
        <v>919</v>
      </c>
      <c r="J896" t="b">
        <f t="shared" si="91"/>
        <v>0</v>
      </c>
      <c r="K896" s="3">
        <f t="shared" ca="1" si="92"/>
        <v>45</v>
      </c>
      <c r="L896" s="3">
        <f t="shared" ca="1" si="93"/>
        <v>0</v>
      </c>
      <c r="M896" t="str">
        <f t="shared" ca="1" si="94"/>
        <v>On Time</v>
      </c>
      <c r="N896">
        <f t="shared" si="96"/>
        <v>0</v>
      </c>
      <c r="O896" t="str" cm="1">
        <f t="array" aca="1" ref="O896" ca="1">_xlfn.IFS(
L896&lt;=0,"Not Due",
L896&lt;=30,"0–30 Days",
L896&lt;=60,"31–60 Days",
L896&lt;=90,"61–90 Days",
L896&lt;=180,"91–180 Days",
L896&lt;=365,"181–365 Days",
L896&gt;365,"365+ Days (High Risk)"
)</f>
        <v>Not Due</v>
      </c>
      <c r="P896">
        <f t="shared" si="97"/>
        <v>6161.04</v>
      </c>
      <c r="Q896" s="3">
        <f t="shared" ca="1" si="95"/>
        <v>0</v>
      </c>
    </row>
    <row r="897" spans="1:17" x14ac:dyDescent="0.25">
      <c r="A897" t="s">
        <v>901</v>
      </c>
      <c r="B897" t="s">
        <v>907</v>
      </c>
      <c r="C897" s="1">
        <v>45679</v>
      </c>
      <c r="D897" s="1">
        <v>45724</v>
      </c>
      <c r="E897">
        <v>2056.42</v>
      </c>
      <c r="F897" t="s">
        <v>915</v>
      </c>
      <c r="G897" t="s">
        <v>917</v>
      </c>
      <c r="I897" t="s">
        <v>919</v>
      </c>
      <c r="J897" t="b">
        <f t="shared" si="91"/>
        <v>1</v>
      </c>
      <c r="K897" s="3">
        <f t="shared" ca="1" si="92"/>
        <v>372</v>
      </c>
      <c r="L897" s="3">
        <f t="shared" ca="1" si="93"/>
        <v>327</v>
      </c>
      <c r="M897" t="str">
        <f t="shared" ca="1" si="94"/>
        <v>Overdue</v>
      </c>
      <c r="N897">
        <f t="shared" si="96"/>
        <v>2056.42</v>
      </c>
      <c r="O897" t="str" cm="1">
        <f t="array" aca="1" ref="O897" ca="1">_xlfn.IFS(
L897&lt;=0,"Not Due",
L897&lt;=30,"0–30 Days",
L897&lt;=60,"31–60 Days",
L897&lt;=90,"61–90 Days",
L897&lt;=180,"91–180 Days",
L897&lt;=365,"181–365 Days",
L897&gt;365,"365+ Days (High Risk)"
)</f>
        <v>181–365 Days</v>
      </c>
      <c r="P897">
        <f t="shared" si="97"/>
        <v>0</v>
      </c>
      <c r="Q897" s="3">
        <f t="shared" ca="1" si="95"/>
        <v>2056.42</v>
      </c>
    </row>
    <row r="898" spans="1:17" x14ac:dyDescent="0.25">
      <c r="A898" t="s">
        <v>902</v>
      </c>
      <c r="B898" t="s">
        <v>908</v>
      </c>
      <c r="C898" s="1">
        <v>45348</v>
      </c>
      <c r="D898" s="1">
        <v>45393</v>
      </c>
      <c r="E898">
        <v>1203.3</v>
      </c>
      <c r="F898" t="s">
        <v>911</v>
      </c>
      <c r="G898" t="s">
        <v>918</v>
      </c>
      <c r="H898" s="1">
        <v>45393</v>
      </c>
      <c r="I898" t="s">
        <v>919</v>
      </c>
      <c r="J898" t="b">
        <f t="shared" si="91"/>
        <v>0</v>
      </c>
      <c r="K898" s="3">
        <f t="shared" ca="1" si="92"/>
        <v>45</v>
      </c>
      <c r="L898" s="3">
        <f t="shared" ca="1" si="93"/>
        <v>0</v>
      </c>
      <c r="M898" t="str">
        <f t="shared" ref="M898:M901" ca="1" si="98">IF(L898&gt;0,"Overdue","On Time")</f>
        <v>On Time</v>
      </c>
      <c r="N898">
        <f t="shared" si="96"/>
        <v>0</v>
      </c>
      <c r="O898" t="str" cm="1">
        <f t="array" aca="1" ref="O898" ca="1">_xlfn.IFS(
L898&lt;=0,"Not Due",
L898&lt;=30,"0–30 Days",
L898&lt;=60,"31–60 Days",
L898&lt;=90,"61–90 Days",
L898&lt;=180,"91–180 Days",
L898&lt;=365,"181–365 Days",
L898&gt;365,"365+ Days (High Risk)"
)</f>
        <v>Not Due</v>
      </c>
      <c r="P898">
        <f t="shared" si="97"/>
        <v>1203.3</v>
      </c>
      <c r="Q898" s="3">
        <f t="shared" ca="1" si="95"/>
        <v>0</v>
      </c>
    </row>
    <row r="899" spans="1:17" x14ac:dyDescent="0.25">
      <c r="A899" t="s">
        <v>903</v>
      </c>
      <c r="B899" t="s">
        <v>910</v>
      </c>
      <c r="C899" s="1">
        <v>45070</v>
      </c>
      <c r="D899" s="1">
        <v>45115</v>
      </c>
      <c r="E899">
        <v>3143.41</v>
      </c>
      <c r="F899" t="s">
        <v>911</v>
      </c>
      <c r="G899" t="s">
        <v>918</v>
      </c>
      <c r="H899" s="1">
        <v>45115</v>
      </c>
      <c r="I899" t="s">
        <v>919</v>
      </c>
      <c r="J899" t="b">
        <f t="shared" si="91"/>
        <v>0</v>
      </c>
      <c r="K899" s="3">
        <f t="shared" ca="1" si="92"/>
        <v>45</v>
      </c>
      <c r="L899" s="3">
        <f t="shared" ca="1" si="93"/>
        <v>0</v>
      </c>
      <c r="M899" t="str">
        <f t="shared" ca="1" si="98"/>
        <v>On Time</v>
      </c>
      <c r="N899">
        <f t="shared" ref="N899:N901" si="99">IF(G899="Received",0,E899)</f>
        <v>0</v>
      </c>
      <c r="O899" t="str" cm="1">
        <f t="array" aca="1" ref="O899" ca="1">_xlfn.IFS(
L899&lt;=0,"Not Due",
L899&lt;=30,"0–30 Days",
L899&lt;=60,"31–60 Days",
L899&lt;=90,"61–90 Days",
L899&lt;=180,"91–180 Days",
L899&lt;=365,"181–365 Days",
L899&gt;365,"365+ Days (High Risk)"
)</f>
        <v>Not Due</v>
      </c>
      <c r="P899">
        <f t="shared" ref="P899:P901" si="100">E899-N899</f>
        <v>3143.41</v>
      </c>
      <c r="Q899" s="3">
        <f t="shared" ca="1" si="95"/>
        <v>0</v>
      </c>
    </row>
    <row r="900" spans="1:17" x14ac:dyDescent="0.25">
      <c r="A900" t="s">
        <v>904</v>
      </c>
      <c r="B900" t="s">
        <v>909</v>
      </c>
      <c r="C900" s="1">
        <v>45643</v>
      </c>
      <c r="D900" s="1">
        <v>45688</v>
      </c>
      <c r="E900">
        <v>3136.3</v>
      </c>
      <c r="F900" t="s">
        <v>913</v>
      </c>
      <c r="G900" t="s">
        <v>916</v>
      </c>
      <c r="I900" t="s">
        <v>919</v>
      </c>
      <c r="J900" t="b">
        <f t="shared" si="91"/>
        <v>1</v>
      </c>
      <c r="K900" s="3">
        <f t="shared" ca="1" si="92"/>
        <v>408</v>
      </c>
      <c r="L900" s="3">
        <f t="shared" ca="1" si="93"/>
        <v>363</v>
      </c>
      <c r="M900" t="str">
        <f t="shared" ca="1" si="98"/>
        <v>Overdue</v>
      </c>
      <c r="N900">
        <f t="shared" si="99"/>
        <v>3136.3</v>
      </c>
      <c r="O900" t="str" cm="1">
        <f t="array" aca="1" ref="O900" ca="1">_xlfn.IFS(
L900&lt;=0,"Not Due",
L900&lt;=30,"0–30 Days",
L900&lt;=60,"31–60 Days",
L900&lt;=90,"61–90 Days",
L900&lt;=180,"91–180 Days",
L900&lt;=365,"181–365 Days",
L900&gt;365,"365+ Days (High Risk)"
)</f>
        <v>181–365 Days</v>
      </c>
      <c r="P900">
        <f t="shared" si="100"/>
        <v>0</v>
      </c>
      <c r="Q900" s="3">
        <f t="shared" ca="1" si="95"/>
        <v>3136.3</v>
      </c>
    </row>
    <row r="901" spans="1:17" x14ac:dyDescent="0.25">
      <c r="A901" t="s">
        <v>905</v>
      </c>
      <c r="B901" t="s">
        <v>907</v>
      </c>
      <c r="C901" s="1">
        <v>45669</v>
      </c>
      <c r="D901" s="1">
        <v>45714</v>
      </c>
      <c r="E901">
        <v>2993.93</v>
      </c>
      <c r="F901" t="s">
        <v>912</v>
      </c>
      <c r="G901" t="s">
        <v>918</v>
      </c>
      <c r="H901" s="1">
        <v>45714</v>
      </c>
      <c r="I901" t="s">
        <v>919</v>
      </c>
      <c r="J901" t="b">
        <f t="shared" si="91"/>
        <v>0</v>
      </c>
      <c r="K901" s="3">
        <f t="shared" ca="1" si="92"/>
        <v>45</v>
      </c>
      <c r="L901" s="3">
        <f t="shared" ca="1" si="93"/>
        <v>0</v>
      </c>
      <c r="M901" t="str">
        <f t="shared" ca="1" si="98"/>
        <v>On Time</v>
      </c>
      <c r="N901">
        <f t="shared" si="99"/>
        <v>0</v>
      </c>
      <c r="O901" t="str" cm="1">
        <f t="array" aca="1" ref="O901" ca="1">_xlfn.IFS(
L901&lt;=0,"Not Due",
L901&lt;=30,"0–30 Days",
L901&lt;=60,"31–60 Days",
L901&lt;=90,"61–90 Days",
L901&lt;=180,"91–180 Days",
L901&lt;=365,"181–365 Days",
L901&gt;365,"365+ Days (High Risk)"
)</f>
        <v>Not Due</v>
      </c>
      <c r="P901">
        <f t="shared" si="100"/>
        <v>2993.93</v>
      </c>
      <c r="Q901" s="3">
        <f t="shared" ca="1" si="95"/>
        <v>0</v>
      </c>
    </row>
  </sheetData>
  <conditionalFormatting sqref="A2:Q901">
    <cfRule type="expression" dxfId="6" priority="1">
      <formula>AND($L3&gt;90,$L3&lt;=365)</formula>
    </cfRule>
  </conditionalFormatting>
  <conditionalFormatting sqref="A2:Q1048576">
    <cfRule type="expression" dxfId="5" priority="4">
      <formula>OR($O3="Not Due",$O3="0–30 Days")</formula>
    </cfRule>
    <cfRule type="expression" dxfId="4" priority="6">
      <formula>$O3="365+ Days (High Risk)"</formula>
    </cfRule>
  </conditionalFormatting>
  <conditionalFormatting sqref="M2:M901">
    <cfRule type="containsText" dxfId="3" priority="7" operator="containsText" text="ON TIME">
      <formula>NOT(ISERROR(SEARCH("ON TIME",M2)))</formula>
    </cfRule>
    <cfRule type="containsText" dxfId="2" priority="8" operator="containsText" text="oVERDUE">
      <formula>NOT(ISERROR(SEARCH("oVERDUE",M2)))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7FEC-8454-4538-95C7-47DA90189833}">
  <dimension ref="A1:K26"/>
  <sheetViews>
    <sheetView workbookViewId="0">
      <selection activeCell="H6" sqref="H6"/>
    </sheetView>
  </sheetViews>
  <sheetFormatPr defaultRowHeight="15" x14ac:dyDescent="0.25"/>
  <cols>
    <col min="1" max="1" width="23.28515625" bestFit="1" customWidth="1"/>
    <col min="2" max="3" width="26.5703125" bestFit="1" customWidth="1"/>
    <col min="4" max="4" width="18.7109375" bestFit="1" customWidth="1"/>
    <col min="5" max="5" width="25.5703125" bestFit="1" customWidth="1"/>
    <col min="6" max="6" width="26.5703125" bestFit="1" customWidth="1"/>
    <col min="7" max="7" width="3.28515625" customWidth="1"/>
    <col min="8" max="8" width="21" bestFit="1" customWidth="1"/>
    <col min="9" max="9" width="3.42578125" customWidth="1"/>
    <col min="10" max="10" width="13.140625" bestFit="1" customWidth="1"/>
    <col min="11" max="11" width="26.5703125" bestFit="1" customWidth="1"/>
    <col min="12" max="12" width="13.140625" bestFit="1" customWidth="1"/>
    <col min="13" max="13" width="26.5703125" bestFit="1" customWidth="1"/>
    <col min="17" max="17" width="13.140625" bestFit="1" customWidth="1"/>
    <col min="18" max="18" width="26.5703125" bestFit="1" customWidth="1"/>
  </cols>
  <sheetData>
    <row r="1" spans="1:11" x14ac:dyDescent="0.25">
      <c r="D1" s="7" t="s">
        <v>948</v>
      </c>
      <c r="E1" s="7"/>
      <c r="F1" s="7" t="s">
        <v>937</v>
      </c>
      <c r="G1" s="7"/>
      <c r="H1" s="7" t="s">
        <v>946</v>
      </c>
      <c r="J1" s="4" t="s">
        <v>925</v>
      </c>
      <c r="K1" t="s">
        <v>951</v>
      </c>
    </row>
    <row r="2" spans="1:11" x14ac:dyDescent="0.25">
      <c r="A2" s="4" t="s">
        <v>930</v>
      </c>
      <c r="B2" t="s">
        <v>932</v>
      </c>
      <c r="C2" t="s">
        <v>933</v>
      </c>
      <c r="D2" s="17">
        <f ca="1">SUMIFS(PIVOT_TABLE!A11,DATASET!S2, "&gt;180")/SUM(PIVOT_TABLE!A11)</f>
        <v>1</v>
      </c>
      <c r="F2">
        <f>ROUND(GETPIVOTDATA("Outstanding Amount",$A$3)/ GETPIVOTDATA("Amount",$A$3) * 365, 0)</f>
        <v>242</v>
      </c>
      <c r="H2" s="17">
        <f>PIVOT_TABLE!A14/PIVOT_TABLE!A11</f>
        <v>1</v>
      </c>
    </row>
    <row r="3" spans="1:11" x14ac:dyDescent="0.25">
      <c r="A3" s="5" t="s">
        <v>908</v>
      </c>
      <c r="B3">
        <v>677873.5700000003</v>
      </c>
      <c r="C3">
        <v>445585.3000000001</v>
      </c>
      <c r="J3" s="4" t="s">
        <v>930</v>
      </c>
      <c r="K3" t="s">
        <v>933</v>
      </c>
    </row>
    <row r="4" spans="1:11" x14ac:dyDescent="0.25">
      <c r="A4" s="5" t="s">
        <v>910</v>
      </c>
      <c r="B4">
        <v>802053.86999999988</v>
      </c>
      <c r="C4">
        <v>510046.58999999991</v>
      </c>
      <c r="E4" s="4" t="s">
        <v>930</v>
      </c>
      <c r="F4" t="s">
        <v>949</v>
      </c>
      <c r="J4" s="5" t="s">
        <v>952</v>
      </c>
      <c r="K4">
        <v>218973.06</v>
      </c>
    </row>
    <row r="5" spans="1:11" x14ac:dyDescent="0.25">
      <c r="A5" s="5" t="s">
        <v>909</v>
      </c>
      <c r="B5">
        <v>696434.71000000031</v>
      </c>
      <c r="C5">
        <v>457012.45999999985</v>
      </c>
      <c r="E5" s="5" t="s">
        <v>950</v>
      </c>
      <c r="F5">
        <v>301</v>
      </c>
      <c r="J5" s="5" t="s">
        <v>953</v>
      </c>
      <c r="K5">
        <v>293088.38000000006</v>
      </c>
    </row>
    <row r="6" spans="1:11" x14ac:dyDescent="0.25">
      <c r="A6" s="5" t="s">
        <v>906</v>
      </c>
      <c r="B6">
        <v>738944.2300000001</v>
      </c>
      <c r="C6">
        <v>525924.74999999988</v>
      </c>
      <c r="E6" s="5" t="s">
        <v>951</v>
      </c>
      <c r="F6">
        <v>599</v>
      </c>
      <c r="J6" s="5" t="s">
        <v>954</v>
      </c>
      <c r="K6">
        <v>211019.91999999998</v>
      </c>
    </row>
    <row r="7" spans="1:11" x14ac:dyDescent="0.25">
      <c r="A7" s="5" t="s">
        <v>907</v>
      </c>
      <c r="B7">
        <v>682955.90999999945</v>
      </c>
      <c r="C7">
        <v>447156.62999999995</v>
      </c>
      <c r="E7" s="5" t="s">
        <v>931</v>
      </c>
      <c r="F7">
        <v>900</v>
      </c>
      <c r="J7" s="5" t="s">
        <v>955</v>
      </c>
      <c r="K7">
        <v>197383.47999999998</v>
      </c>
    </row>
    <row r="8" spans="1:11" x14ac:dyDescent="0.25">
      <c r="A8" s="5" t="s">
        <v>931</v>
      </c>
      <c r="B8">
        <v>3598262.29</v>
      </c>
      <c r="C8">
        <v>2385725.7299999995</v>
      </c>
      <c r="J8" s="5" t="s">
        <v>956</v>
      </c>
      <c r="K8">
        <v>205052.39999999997</v>
      </c>
    </row>
    <row r="9" spans="1:11" x14ac:dyDescent="0.25">
      <c r="E9" t="s">
        <v>947</v>
      </c>
      <c r="J9" s="5" t="s">
        <v>957</v>
      </c>
      <c r="K9">
        <v>232382.81000000006</v>
      </c>
    </row>
    <row r="10" spans="1:11" x14ac:dyDescent="0.25">
      <c r="A10" t="s">
        <v>933</v>
      </c>
      <c r="E10" s="3">
        <v>373228</v>
      </c>
      <c r="J10" s="5" t="s">
        <v>958</v>
      </c>
      <c r="K10">
        <v>177991.28</v>
      </c>
    </row>
    <row r="11" spans="1:11" x14ac:dyDescent="0.25">
      <c r="A11">
        <v>2385725.7300000014</v>
      </c>
      <c r="J11" s="5" t="s">
        <v>959</v>
      </c>
      <c r="K11">
        <v>173442.11999999994</v>
      </c>
    </row>
    <row r="12" spans="1:11" x14ac:dyDescent="0.25">
      <c r="J12" s="5" t="s">
        <v>960</v>
      </c>
      <c r="K12">
        <v>181739.87999999998</v>
      </c>
    </row>
    <row r="13" spans="1:11" x14ac:dyDescent="0.25">
      <c r="A13" t="s">
        <v>936</v>
      </c>
      <c r="E13" s="4" t="s">
        <v>925</v>
      </c>
      <c r="F13" t="s">
        <v>951</v>
      </c>
      <c r="J13" s="5" t="s">
        <v>961</v>
      </c>
      <c r="K13">
        <v>194379.05</v>
      </c>
    </row>
    <row r="14" spans="1:11" x14ac:dyDescent="0.25">
      <c r="A14" s="3">
        <v>2385725.7300000014</v>
      </c>
      <c r="J14" s="5" t="s">
        <v>962</v>
      </c>
      <c r="K14">
        <v>170088.58999999994</v>
      </c>
    </row>
    <row r="15" spans="1:11" x14ac:dyDescent="0.25">
      <c r="E15" s="4" t="s">
        <v>930</v>
      </c>
      <c r="F15" t="s">
        <v>933</v>
      </c>
      <c r="J15" s="5" t="s">
        <v>963</v>
      </c>
      <c r="K15">
        <v>130184.76</v>
      </c>
    </row>
    <row r="16" spans="1:11" x14ac:dyDescent="0.25">
      <c r="A16" s="4" t="s">
        <v>930</v>
      </c>
      <c r="B16" t="s">
        <v>933</v>
      </c>
      <c r="E16" s="18">
        <v>45047</v>
      </c>
      <c r="F16">
        <v>17036.16</v>
      </c>
      <c r="J16" s="5" t="s">
        <v>931</v>
      </c>
      <c r="K16">
        <v>2385725.7299999995</v>
      </c>
    </row>
    <row r="17" spans="1:6" x14ac:dyDescent="0.25">
      <c r="A17" s="5" t="s">
        <v>964</v>
      </c>
      <c r="B17">
        <v>0</v>
      </c>
      <c r="E17" s="18">
        <v>45108</v>
      </c>
      <c r="F17">
        <v>17155.669999999998</v>
      </c>
    </row>
    <row r="18" spans="1:6" x14ac:dyDescent="0.25">
      <c r="A18" s="5" t="s">
        <v>940</v>
      </c>
      <c r="B18">
        <v>37140.720000000001</v>
      </c>
      <c r="E18" s="18">
        <v>45212</v>
      </c>
      <c r="F18">
        <v>15828.87</v>
      </c>
    </row>
    <row r="19" spans="1:6" x14ac:dyDescent="0.25">
      <c r="A19" s="5" t="s">
        <v>938</v>
      </c>
      <c r="B19">
        <v>466052.67</v>
      </c>
      <c r="E19" s="18">
        <v>45298</v>
      </c>
      <c r="F19">
        <v>22839.62</v>
      </c>
    </row>
    <row r="20" spans="1:6" x14ac:dyDescent="0.25">
      <c r="A20" s="5" t="s">
        <v>939</v>
      </c>
      <c r="B20">
        <v>1882532.3400000026</v>
      </c>
      <c r="E20" s="18">
        <v>45346</v>
      </c>
      <c r="F20">
        <v>16359.59</v>
      </c>
    </row>
    <row r="21" spans="1:6" x14ac:dyDescent="0.25">
      <c r="A21" s="5" t="s">
        <v>931</v>
      </c>
      <c r="B21">
        <v>2385725.7300000028</v>
      </c>
      <c r="E21" s="18">
        <v>45393</v>
      </c>
      <c r="F21">
        <v>22052.85</v>
      </c>
    </row>
    <row r="22" spans="1:6" x14ac:dyDescent="0.25">
      <c r="E22" s="18">
        <v>45427</v>
      </c>
      <c r="F22">
        <v>16549.650000000001</v>
      </c>
    </row>
    <row r="23" spans="1:6" x14ac:dyDescent="0.25">
      <c r="E23" s="18">
        <v>45453</v>
      </c>
      <c r="F23">
        <v>15035.36</v>
      </c>
    </row>
    <row r="24" spans="1:6" x14ac:dyDescent="0.25">
      <c r="E24" s="18">
        <v>45617</v>
      </c>
      <c r="F24">
        <v>15090.550000000001</v>
      </c>
    </row>
    <row r="25" spans="1:6" x14ac:dyDescent="0.25">
      <c r="E25" s="18">
        <v>45814</v>
      </c>
      <c r="F25">
        <v>19296.259999999998</v>
      </c>
    </row>
    <row r="26" spans="1:6" x14ac:dyDescent="0.25">
      <c r="E26" s="18" t="s">
        <v>931</v>
      </c>
      <c r="F26">
        <v>177244.58000000002</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83A0047A-CCCC-4716-8753-E6258454BB20}">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PIVOT_TABLE!D2:D2</xm:f>
              <xm:sqref>D2</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5D2F2-DAAC-486E-95F1-A2AB8737691F}">
  <dimension ref="A1:B6"/>
  <sheetViews>
    <sheetView workbookViewId="0">
      <selection activeCell="A10" sqref="A10"/>
    </sheetView>
  </sheetViews>
  <sheetFormatPr defaultRowHeight="15" x14ac:dyDescent="0.25"/>
  <cols>
    <col min="1" max="1" width="71.7109375" bestFit="1" customWidth="1"/>
    <col min="2" max="2" width="12.7109375" bestFit="1" customWidth="1"/>
  </cols>
  <sheetData>
    <row r="1" spans="1:2" ht="16.5" thickBot="1" x14ac:dyDescent="0.3">
      <c r="A1" s="13" t="s">
        <v>941</v>
      </c>
      <c r="B1" s="13" t="s">
        <v>2</v>
      </c>
    </row>
    <row r="2" spans="1:2" x14ac:dyDescent="0.25">
      <c r="A2" s="12" t="s">
        <v>942</v>
      </c>
      <c r="B2" s="19">
        <f>SUM(PIVOT_TABLE!$A$11)</f>
        <v>2385725.7300000014</v>
      </c>
    </row>
    <row r="3" spans="1:2" x14ac:dyDescent="0.25">
      <c r="A3" s="10" t="s">
        <v>943</v>
      </c>
      <c r="B3" s="11">
        <v>2410000</v>
      </c>
    </row>
    <row r="4" spans="1:2" x14ac:dyDescent="0.25">
      <c r="A4" s="10" t="s">
        <v>944</v>
      </c>
      <c r="B4" s="11">
        <f>B2-B3</f>
        <v>-24274.269999998622</v>
      </c>
    </row>
    <row r="6" spans="1:2" ht="15.75" x14ac:dyDescent="0.25">
      <c r="A6" s="20" t="s">
        <v>945</v>
      </c>
    </row>
  </sheetData>
  <conditionalFormatting sqref="B4">
    <cfRule type="cellIs" dxfId="1" priority="1" operator="lessThan">
      <formula>0</formula>
    </cfRule>
    <cfRule type="cellIs" dxfId="0" priority="2"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5E2B-E497-4D77-89AF-6EF084B60478}">
  <dimension ref="A1"/>
  <sheetViews>
    <sheetView showGridLines="0" tabSelected="1" zoomScale="70" zoomScaleNormal="70" workbookViewId="0">
      <selection activeCell="X21" sqref="X21"/>
    </sheetView>
  </sheetViews>
  <sheetFormatPr defaultRowHeight="15" x14ac:dyDescent="0.25"/>
  <cols>
    <col min="1" max="4" width="9.140625" style="6"/>
    <col min="5" max="5" width="2.7109375" style="6" customWidth="1"/>
    <col min="6" max="9" width="9.140625" style="6"/>
    <col min="10" max="10" width="2.7109375" style="6" customWidth="1"/>
    <col min="11" max="14" width="9.140625" style="6"/>
    <col min="15" max="15" width="2.7109375" style="6" customWidth="1"/>
    <col min="16" max="16384" width="9.140625" style="6"/>
  </cols>
  <sheetData/>
  <pageMargins left="0.7" right="0.7" top="0.75" bottom="0.75" header="0.3" footer="0.3"/>
  <pageSetup paperSize="8"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PIVOT_TABLE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Saket Tripathi</cp:lastModifiedBy>
  <dcterms:created xsi:type="dcterms:W3CDTF">2025-06-28T04:56:09Z</dcterms:created>
  <dcterms:modified xsi:type="dcterms:W3CDTF">2026-01-29T12:57:41Z</dcterms:modified>
</cp:coreProperties>
</file>